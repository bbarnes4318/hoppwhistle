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1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aflac" sheetId="3" state="visible" r:id="rId3"/>
    <sheet xmlns:r="http://schemas.openxmlformats.org/officeDocument/2006/relationships" name="aflac-modified" sheetId="4" state="visible" r:id="rId4"/>
    <sheet xmlns:r="http://schemas.openxmlformats.org/officeDocument/2006/relationships" name="SBLI-Modified" sheetId="5" state="visible" r:id="rId5"/>
    <sheet xmlns:r="http://schemas.openxmlformats.org/officeDocument/2006/relationships" name="CICA" sheetId="6" state="visible" r:id="rId6"/>
    <sheet xmlns:r="http://schemas.openxmlformats.org/officeDocument/2006/relationships" name="SBLI" sheetId="7" state="visible" r:id="rId7"/>
    <sheet xmlns:r="http://schemas.openxmlformats.org/officeDocument/2006/relationships" name="CICA-GI" sheetId="8" state="visible" r:id="rId8"/>
    <sheet xmlns:r="http://schemas.openxmlformats.org/officeDocument/2006/relationships" name="gtl" sheetId="9" state="visible" r:id="rId9"/>
    <sheet xmlns:r="http://schemas.openxmlformats.org/officeDocument/2006/relationships" name="TransAmerica" sheetId="10" state="visible" r:id="rId10"/>
    <sheet xmlns:r="http://schemas.openxmlformats.org/officeDocument/2006/relationships" name="TransAmerica Graded" sheetId="11" state="visible" r:id="rId11"/>
    <sheet xmlns:r="http://schemas.openxmlformats.org/officeDocument/2006/relationships" name="Corebridge" sheetId="12" state="visible" r:id="rId12"/>
    <sheet xmlns:r="http://schemas.openxmlformats.org/officeDocument/2006/relationships" name="amam" sheetId="13" state="visible" r:id="rId13"/>
    <sheet xmlns:r="http://schemas.openxmlformats.org/officeDocument/2006/relationships" name="amam-graded" sheetId="14" state="visible" r:id="rId14"/>
    <sheet xmlns:r="http://schemas.openxmlformats.org/officeDocument/2006/relationships" name="amam-return-or-premium" sheetId="15" state="visible" r:id="rId15"/>
    <sheet xmlns:r="http://schemas.openxmlformats.org/officeDocument/2006/relationships" name="AHL" sheetId="16" state="visible" r:id="rId16"/>
    <sheet xmlns:r="http://schemas.openxmlformats.org/officeDocument/2006/relationships" name="AHL-Graded" sheetId="17" state="visible" r:id="rId17"/>
    <sheet xmlns:r="http://schemas.openxmlformats.org/officeDocument/2006/relationships" name="Royal Neighbors" sheetId="18" state="visible" r:id="rId18"/>
    <sheet xmlns:r="http://schemas.openxmlformats.org/officeDocument/2006/relationships" name="Royal Neighbors-Graded" sheetId="19" state="visible" r:id="rId19"/>
    <sheet xmlns:r="http://schemas.openxmlformats.org/officeDocument/2006/relationships" name="Gerber-GI" sheetId="20" state="visible" r:id="rId20"/>
    <sheet xmlns:r="http://schemas.openxmlformats.org/officeDocument/2006/relationships" name="Mutual of Omaha" sheetId="21" state="visible" r:id="rId21"/>
    <sheet xmlns:r="http://schemas.openxmlformats.org/officeDocument/2006/relationships" name="Mutual of Omaha-Graded" sheetId="22" state="visible" r:id="rId2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&quot;$&quot;#,##0.00_);[Red]\(&quot;$&quot;#,##0.00\)"/>
    <numFmt numFmtId="167" formatCode="m\ d"/>
    <numFmt numFmtId="168" formatCode="d\-mmmm"/>
  </numFmts>
  <fonts count="12">
    <font>
      <name val="Aptos Narrow"/>
      <color theme="1"/>
      <sz val="11"/>
      <scheme val="minor"/>
    </font>
    <font>
      <name val="Calibri"/>
      <b val="1"/>
      <color theme="1"/>
      <sz val="9"/>
    </font>
    <font>
      <name val="Calibri"/>
      <color theme="1"/>
      <sz val="9"/>
    </font>
    <font>
      <name val="Arial"/>
      <color theme="1"/>
      <sz val="9"/>
    </font>
    <font>
      <name val="Calibri"/>
      <b val="1"/>
      <color rgb="FF000000"/>
      <sz val="9"/>
    </font>
    <font>
      <name val="Calibri"/>
      <color rgb="FF000000"/>
      <sz val="9"/>
    </font>
    <font>
      <name val="Aptos Narrow"/>
      <color theme="1"/>
      <sz val="9"/>
    </font>
    <font>
      <name val="Calibri"/>
      <color theme="1"/>
      <sz val="11"/>
    </font>
    <font>
      <name val="Calibri"/>
      <b val="1"/>
      <color rgb="FF000000"/>
      <sz val="8"/>
    </font>
    <font>
      <name val="Aptos Narrow"/>
      <color theme="1"/>
      <sz val="8"/>
      <scheme val="minor"/>
    </font>
    <font>
      <name val="Calibri"/>
      <color rgb="FF000000"/>
      <sz val="8"/>
    </font>
    <font>
      <name val="Aptos Narrow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1" fillId="2" borderId="1" pivotButton="0" quotePrefix="0" xfId="0"/>
    <xf numFmtId="0" fontId="1" fillId="2" borderId="1" pivotButton="0" quotePrefix="0" xfId="0"/>
    <xf numFmtId="0" fontId="1" fillId="0" borderId="0" pivotButton="0" quotePrefix="0" xfId="0"/>
    <xf numFmtId="0" fontId="1" fillId="0" borderId="1" pivotButton="0" quotePrefix="0" xfId="0"/>
    <xf numFmtId="164" fontId="2" fillId="0" borderId="1" pivotButton="0" quotePrefix="0" xfId="0"/>
    <xf numFmtId="164" fontId="2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1" fillId="0" borderId="2" pivotButton="0" quotePrefix="0" xfId="0"/>
    <xf numFmtId="165" fontId="2" fillId="0" borderId="2" pivotButton="0" quotePrefix="0" xfId="0"/>
    <xf numFmtId="165" fontId="2" fillId="0" borderId="1" pivotButton="0" quotePrefix="0" xfId="0"/>
    <xf numFmtId="0" fontId="2" fillId="0" borderId="0" pivotButton="0" quotePrefix="0" xfId="0"/>
    <xf numFmtId="0" fontId="1" fillId="0" borderId="3" pivotButton="0" quotePrefix="0" xfId="0"/>
    <xf numFmtId="0" fontId="4" fillId="0" borderId="1" pivotButton="0" quotePrefix="0" xfId="0"/>
    <xf numFmtId="0" fontId="1" fillId="0" borderId="4" pivotButton="0" quotePrefix="0" xfId="0"/>
    <xf numFmtId="0" fontId="2" fillId="0" borderId="2" pivotButton="0" quotePrefix="0" xfId="0"/>
    <xf numFmtId="166" fontId="2" fillId="0" borderId="5" pivotButton="0" quotePrefix="0" xfId="0"/>
    <xf numFmtId="0" fontId="1" fillId="0" borderId="1" applyAlignment="1" pivotButton="0" quotePrefix="0" xfId="0">
      <alignment horizontal="left" vertical="top"/>
    </xf>
    <xf numFmtId="0" fontId="1" fillId="0" borderId="1" pivotButton="0" quotePrefix="0" xfId="0"/>
    <xf numFmtId="0" fontId="2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left"/>
    </xf>
    <xf numFmtId="0" fontId="2" fillId="0" borderId="0" pivotButton="0" quotePrefix="0" xfId="0"/>
    <xf numFmtId="166" fontId="2" fillId="0" borderId="4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6" fontId="2" fillId="0" borderId="5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4" pivotButton="0" quotePrefix="0" xfId="0"/>
    <xf numFmtId="166" fontId="2" fillId="0" borderId="4" pivotButton="0" quotePrefix="0" xfId="0"/>
    <xf numFmtId="0" fontId="2" fillId="0" borderId="5" pivotButton="0" quotePrefix="0" xfId="0"/>
    <xf numFmtId="0" fontId="1" fillId="0" borderId="6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/>
    </xf>
    <xf numFmtId="1" fontId="5" fillId="0" borderId="1" applyAlignment="1" pivotButton="0" quotePrefix="0" xfId="0">
      <alignment horizontal="center" vertical="top" wrapText="1"/>
    </xf>
    <xf numFmtId="165" fontId="5" fillId="0" borderId="1" applyAlignment="1" pivotButton="0" quotePrefix="0" xfId="0">
      <alignment horizontal="right" vertical="top"/>
    </xf>
    <xf numFmtId="1" fontId="5" fillId="0" borderId="1" applyAlignment="1" pivotButton="0" quotePrefix="0" xfId="0">
      <alignment horizontal="center" vertical="top" shrinkToFit="1"/>
    </xf>
    <xf numFmtId="0" fontId="4" fillId="0" borderId="7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1" fontId="5" fillId="0" borderId="7" applyAlignment="1" pivotButton="0" quotePrefix="0" xfId="0">
      <alignment horizontal="center" vertical="top" shrinkToFit="1"/>
    </xf>
    <xf numFmtId="1" fontId="5" fillId="0" borderId="8" applyAlignment="1" pivotButton="0" quotePrefix="0" xfId="0">
      <alignment horizontal="center" vertical="top" shrinkToFit="1"/>
    </xf>
    <xf numFmtId="0" fontId="7" fillId="0" borderId="0" pivotButton="0" quotePrefix="0" xfId="0"/>
    <xf numFmtId="165" fontId="2" fillId="0" borderId="5" pivotButton="0" quotePrefix="0" xfId="0"/>
    <xf numFmtId="165" fontId="2" fillId="0" borderId="4" applyAlignment="1" pivotButton="0" quotePrefix="0" xfId="0">
      <alignment wrapText="1"/>
    </xf>
    <xf numFmtId="165" fontId="2" fillId="0" borderId="5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3" borderId="0" pivotButton="0" quotePrefix="0" xfId="0"/>
    <xf numFmtId="0" fontId="10" fillId="3" borderId="0" applyAlignment="1" pivotButton="0" quotePrefix="0" xfId="0">
      <alignment horizontal="right"/>
    </xf>
    <xf numFmtId="14" fontId="10" fillId="3" borderId="0" applyAlignment="1" pivotButton="0" quotePrefix="0" xfId="0">
      <alignment horizontal="right"/>
    </xf>
    <xf numFmtId="164" fontId="10" fillId="3" borderId="0" applyAlignment="1" pivotButton="0" quotePrefix="0" xfId="0">
      <alignment horizontal="right"/>
    </xf>
    <xf numFmtId="0" fontId="10" fillId="0" borderId="0" pivotButton="0" quotePrefix="0" xfId="0"/>
    <xf numFmtId="0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65" fontId="10" fillId="0" borderId="0" pivotButton="0" quotePrefix="0" xfId="0"/>
    <xf numFmtId="11" fontId="10" fillId="0" borderId="0" applyAlignment="1" pivotButton="0" quotePrefix="0" xfId="0">
      <alignment horizontal="right"/>
    </xf>
    <xf numFmtId="167" fontId="10" fillId="0" borderId="0" pivotButton="0" quotePrefix="0" xfId="0"/>
    <xf numFmtId="165" fontId="10" fillId="0" borderId="0" applyAlignment="1" pivotButton="0" quotePrefix="0" xfId="0">
      <alignment horizontal="right"/>
    </xf>
    <xf numFmtId="168" fontId="10" fillId="0" borderId="0" applyAlignment="1" pivotButton="0" quotePrefix="0" xfId="0">
      <alignment horizontal="right"/>
    </xf>
    <xf numFmtId="165" fontId="10" fillId="3" borderId="0" pivotButton="0" quotePrefix="0" xfId="0"/>
    <xf numFmtId="165" fontId="10" fillId="3" borderId="0" applyAlignment="1" pivotButton="0" quotePrefix="0" xfId="0">
      <alignment horizontal="right"/>
    </xf>
    <xf numFmtId="11" fontId="10" fillId="3" borderId="0" applyAlignment="1" pivotButton="0" quotePrefix="0" xfId="0">
      <alignment horizontal="right"/>
    </xf>
    <xf numFmtId="0" fontId="11" fillId="4" borderId="0" pivotButton="0" quotePrefix="0" xfId="0"/>
    <xf numFmtId="165" fontId="0" fillId="0" borderId="0" pivotButton="0" quotePrefix="0" xfId="0"/>
    <xf numFmtId="0" fontId="11" fillId="5" borderId="0" pivotButton="0" quotePrefix="0" xfId="0"/>
    <xf numFmtId="166" fontId="2" fillId="0" borderId="5" pivotButton="0" quotePrefix="0" xfId="0"/>
    <xf numFmtId="166" fontId="2" fillId="0" borderId="1" applyAlignment="1" pivotButton="0" quotePrefix="0" xfId="0">
      <alignment horizontal="left"/>
    </xf>
    <xf numFmtId="166" fontId="2" fillId="0" borderId="4" applyAlignment="1" pivotButton="0" quotePrefix="0" xfId="0">
      <alignment wrapText="1"/>
    </xf>
    <xf numFmtId="166" fontId="2" fillId="0" borderId="5" applyAlignment="1" pivotButton="0" quotePrefix="0" xfId="0">
      <alignment wrapText="1"/>
    </xf>
    <xf numFmtId="166" fontId="2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topLeftCell="A11" workbookViewId="0">
      <selection activeCell="B8" sqref="B8"/>
    </sheetView>
  </sheetViews>
  <sheetFormatPr baseColWidth="8" defaultColWidth="12.5703125" defaultRowHeight="15" customHeight="1"/>
  <cols>
    <col width="19.5703125" customWidth="1" min="1" max="1"/>
    <col width="19.7109375" customWidth="1" style="32" min="2" max="2"/>
    <col width="15.28515625" customWidth="1" style="32" min="3" max="3"/>
    <col width="13.140625" customWidth="1" min="4" max="8"/>
    <col width="16.85546875" customWidth="1" min="9" max="21"/>
    <col width="9.140625" customWidth="1" min="22" max="23"/>
    <col width="8.5703125" customWidth="1" min="24" max="34"/>
  </cols>
  <sheetData>
    <row r="1" ht="12.75" customHeight="1">
      <c r="A1" s="1" t="inlineStr">
        <is>
          <t>carrier</t>
        </is>
      </c>
      <c r="B1" s="3" t="inlineStr">
        <is>
          <t>aflac</t>
        </is>
      </c>
      <c r="C1" s="3" t="inlineStr">
        <is>
          <t>aflac-modified</t>
        </is>
      </c>
      <c r="D1" s="3" t="inlineStr">
        <is>
          <t>SBLI</t>
        </is>
      </c>
      <c r="E1" s="3" t="inlineStr">
        <is>
          <t>SBLI-Modified</t>
        </is>
      </c>
      <c r="F1" s="3" t="inlineStr">
        <is>
          <t>CICA</t>
        </is>
      </c>
      <c r="G1" s="3" t="inlineStr">
        <is>
          <t>CICA-GI</t>
        </is>
      </c>
      <c r="H1" s="3" t="inlineStr">
        <is>
          <t>gtl</t>
        </is>
      </c>
      <c r="I1" s="3" t="inlineStr">
        <is>
          <t>TransAmerica</t>
        </is>
      </c>
      <c r="J1" s="3" t="inlineStr">
        <is>
          <t>TransAmerica Graded</t>
        </is>
      </c>
      <c r="K1" s="3" t="inlineStr">
        <is>
          <t>Corebridge</t>
        </is>
      </c>
      <c r="L1" s="3" t="inlineStr">
        <is>
          <t>amam</t>
        </is>
      </c>
      <c r="M1" s="3" t="inlineStr">
        <is>
          <t>amam-graded</t>
        </is>
      </c>
      <c r="N1" s="3" t="inlineStr">
        <is>
          <t>amam-return-or-premium</t>
        </is>
      </c>
      <c r="O1" s="3" t="inlineStr">
        <is>
          <t>AHL</t>
        </is>
      </c>
      <c r="P1" s="3" t="inlineStr">
        <is>
          <t>AHL-Graded</t>
        </is>
      </c>
      <c r="Q1" s="3" t="inlineStr">
        <is>
          <t>Royal Neighbors</t>
        </is>
      </c>
      <c r="R1" s="3" t="inlineStr">
        <is>
          <t>Royal Neighbors-Graded</t>
        </is>
      </c>
      <c r="S1" s="3" t="inlineStr">
        <is>
          <t>Gerber-GI</t>
        </is>
      </c>
      <c r="T1" s="3" t="inlineStr">
        <is>
          <t>Mutal of Omaha</t>
        </is>
      </c>
      <c r="U1" s="3" t="inlineStr">
        <is>
          <t>Mutual of Omaha-Graded</t>
        </is>
      </c>
    </row>
    <row r="2" ht="12.75" customHeight="1">
      <c r="A2" s="27" t="inlineStr">
        <is>
          <t>fee</t>
        </is>
      </c>
      <c r="B2" s="7" t="n">
        <v>48</v>
      </c>
      <c r="C2" s="7" t="n">
        <v>48</v>
      </c>
      <c r="D2" s="7" t="n">
        <v>48</v>
      </c>
      <c r="E2" s="7" t="n">
        <v>48</v>
      </c>
      <c r="F2" s="7" t="n">
        <v>0</v>
      </c>
      <c r="G2" s="7" t="n">
        <v>0</v>
      </c>
      <c r="H2" s="7" t="n">
        <v>48</v>
      </c>
      <c r="I2" s="7" t="n">
        <v>48</v>
      </c>
      <c r="J2" s="7" t="n">
        <v>48</v>
      </c>
      <c r="K2" s="7" t="n">
        <v>24</v>
      </c>
      <c r="L2" s="7" t="n">
        <v>30</v>
      </c>
      <c r="M2" s="7" t="n">
        <v>30</v>
      </c>
      <c r="N2" s="7" t="n">
        <v>30</v>
      </c>
      <c r="O2" s="7" t="n">
        <v>120</v>
      </c>
      <c r="P2" s="7" t="n">
        <v>120</v>
      </c>
      <c r="Q2" s="7" t="n">
        <v>30</v>
      </c>
      <c r="R2" s="7" t="n">
        <v>30</v>
      </c>
      <c r="S2" s="7" t="n">
        <v>11</v>
      </c>
      <c r="T2" s="7" t="n">
        <v>36</v>
      </c>
      <c r="U2" s="7" t="n">
        <v>12</v>
      </c>
    </row>
    <row r="3" ht="12.75" customHeight="1">
      <c r="A3" s="27" t="inlineStr">
        <is>
          <t>monthly_factor</t>
        </is>
      </c>
      <c r="B3" s="10" t="n">
        <v>0.08749999999999999</v>
      </c>
      <c r="C3" s="10" t="n">
        <v>0.08749999999999999</v>
      </c>
      <c r="D3" s="10" t="n">
        <v>0.08699999999999999</v>
      </c>
      <c r="E3" s="10" t="n">
        <v>0.08699999999999999</v>
      </c>
      <c r="F3" s="10" t="n">
        <v>0</v>
      </c>
      <c r="G3" s="10" t="n">
        <v>0</v>
      </c>
      <c r="H3" s="10" t="n">
        <v>0.08333</v>
      </c>
      <c r="I3" s="10" t="n">
        <v>0.08749999999999999</v>
      </c>
      <c r="J3" s="10" t="n">
        <v>0.08749999999999999</v>
      </c>
      <c r="K3" s="11" t="n">
        <v>0.0834</v>
      </c>
      <c r="L3" s="10" t="n">
        <v>0.08799999999999999</v>
      </c>
      <c r="M3" s="10" t="n">
        <v>0.08799999999999999</v>
      </c>
      <c r="N3" s="10" t="n">
        <v>0.08799999999999999</v>
      </c>
      <c r="O3" s="10" t="n">
        <v>0.08749999999999999</v>
      </c>
      <c r="P3" s="10" t="n">
        <v>0.08749999999999999</v>
      </c>
      <c r="Q3" s="10" t="n">
        <v>0.08699999999999999</v>
      </c>
      <c r="R3" s="10" t="n">
        <v>0.08699999999999999</v>
      </c>
      <c r="S3" s="12" t="n">
        <v>0.08333400000000001</v>
      </c>
      <c r="T3" s="10" t="n">
        <v>0.089</v>
      </c>
      <c r="U3" s="10" t="n">
        <v>0.089</v>
      </c>
    </row>
    <row r="4" ht="12.75" customHeight="1">
      <c r="A4" s="4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</row>
    <row r="5" ht="12.75" customHeight="1">
      <c r="A5" s="4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 ht="12.75" customHeight="1">
      <c r="A6" s="4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</row>
    <row r="7" ht="12.75" customHeight="1">
      <c r="A7" s="13" t="n"/>
      <c r="B7" s="14" t="inlineStr">
        <is>
          <t>73 Male Non-Smoker</t>
        </is>
      </c>
      <c r="C7" s="15" t="inlineStr">
        <is>
          <t>Monthly Premium</t>
        </is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</row>
    <row r="8" ht="12.75" customHeight="1">
      <c r="A8" s="32" t="n"/>
      <c r="B8" s="17" t="inlineStr">
        <is>
          <t>sbli</t>
        </is>
      </c>
      <c r="C8" s="18" t="n">
        <v>59.83029166666666</v>
      </c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</row>
    <row r="9" ht="12.75" customHeight="1">
      <c r="A9" s="32" t="n"/>
      <c r="B9" s="27" t="inlineStr">
        <is>
          <t>sbli-mod</t>
        </is>
      </c>
      <c r="C9" s="19" t="n">
        <v>84.87658333333333</v>
      </c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</row>
    <row r="10" ht="12.75" customHeight="1">
      <c r="A10" s="4" t="n"/>
      <c r="B10" s="27" t="inlineStr">
        <is>
          <t>aflac</t>
        </is>
      </c>
      <c r="C10" s="19" t="n">
        <v>48.02933333333334</v>
      </c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</row>
    <row r="11" ht="12.75" customHeight="1">
      <c r="A11" s="4" t="n"/>
      <c r="B11" s="27" t="inlineStr">
        <is>
          <t>aflace mod</t>
        </is>
      </c>
      <c r="C11" s="19" t="n">
        <v>67.54346249999999</v>
      </c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</row>
    <row r="12" ht="12.75" customHeight="1">
      <c r="A12" s="4" t="n"/>
      <c r="B12" s="27" t="inlineStr">
        <is>
          <t>cica</t>
        </is>
      </c>
      <c r="C12" s="19" t="n">
        <v>70.55082916666666</v>
      </c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</row>
    <row r="13" ht="12.75" customHeight="1">
      <c r="A13" s="4" t="n"/>
      <c r="B13" s="27" t="inlineStr">
        <is>
          <t>cica gi</t>
        </is>
      </c>
      <c r="C13" s="19" t="n">
        <v>102.2731125</v>
      </c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</row>
    <row r="14" ht="12.75" customHeight="1">
      <c r="A14" s="4" t="n"/>
      <c r="B14" s="27" t="inlineStr">
        <is>
          <t>trans</t>
        </is>
      </c>
      <c r="C14" s="19" t="n">
        <v>57.15265625</v>
      </c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</row>
    <row r="15" ht="12.75" customHeight="1">
      <c r="A15" s="4" t="n"/>
      <c r="B15" s="27" t="inlineStr">
        <is>
          <t>trans mod</t>
        </is>
      </c>
      <c r="C15" s="19" t="n">
        <v>66.11224583333333</v>
      </c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</row>
    <row r="16" ht="12.75" customHeight="1">
      <c r="A16" s="4" t="n"/>
      <c r="B16" s="27" t="inlineStr">
        <is>
          <t>gtl</t>
        </is>
      </c>
      <c r="C16" s="19" t="n">
        <v>72.94422</v>
      </c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</row>
    <row r="17" ht="12.75" customHeight="1">
      <c r="B17" s="27" t="inlineStr">
        <is>
          <t>corebridge</t>
        </is>
      </c>
      <c r="C17" s="19" t="n">
        <v>74.04000000000001</v>
      </c>
    </row>
    <row r="18" ht="12.75" customHeight="1">
      <c r="B18" s="27" t="inlineStr">
        <is>
          <t>amam</t>
        </is>
      </c>
      <c r="C18" s="19" t="n">
        <v>50.048</v>
      </c>
    </row>
    <row r="19" ht="12.75" customHeight="1">
      <c r="B19" s="27" t="inlineStr">
        <is>
          <t>amam-grad</t>
        </is>
      </c>
      <c r="C19" s="19" t="n">
        <v>68.09066666666666</v>
      </c>
    </row>
    <row r="20" ht="12.75" customHeight="1">
      <c r="B20" s="21" t="inlineStr">
        <is>
          <t>amam-rop</t>
        </is>
      </c>
      <c r="C20" s="19" t="n">
        <v>75.77466666666668</v>
      </c>
    </row>
    <row r="21" ht="12.75" customHeight="1">
      <c r="B21" s="27" t="inlineStr">
        <is>
          <t>AHL</t>
        </is>
      </c>
      <c r="C21" s="19" t="n">
        <v>57.53328124999999</v>
      </c>
    </row>
    <row r="22" ht="12.75" customHeight="1">
      <c r="B22" s="27" t="inlineStr">
        <is>
          <t>AHL-Graded</t>
        </is>
      </c>
      <c r="C22" s="19" t="n">
        <v>82.6771875</v>
      </c>
    </row>
    <row r="23" ht="12.75" customHeight="1">
      <c r="B23" s="27" t="inlineStr">
        <is>
          <t>Royal Neighbors</t>
        </is>
      </c>
      <c r="C23" s="19" t="n">
        <v>51.4151</v>
      </c>
    </row>
    <row r="24" ht="12.75" customHeight="1">
      <c r="B24" s="22" t="inlineStr">
        <is>
          <t>Royal Neighbors-Graded</t>
        </is>
      </c>
      <c r="C24" s="19" t="n">
        <v>78.42704999999999</v>
      </c>
    </row>
    <row r="25" ht="12.75" customHeight="1">
      <c r="B25" s="27" t="inlineStr">
        <is>
          <t>Gerber-GI</t>
        </is>
      </c>
      <c r="C25" s="19" t="n">
        <v>69.19795925</v>
      </c>
    </row>
    <row r="26" ht="12.75" customHeight="1">
      <c r="B26" s="27" t="inlineStr">
        <is>
          <t>Mutual of Omaha</t>
        </is>
      </c>
      <c r="C26" s="19" t="n">
        <v>45.06645</v>
      </c>
    </row>
    <row r="27" ht="12.75" customHeight="1">
      <c r="B27" s="27" t="inlineStr">
        <is>
          <t>Mutual of Omaha-Graded</t>
        </is>
      </c>
      <c r="C27" s="19" t="n">
        <v>49.05945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E90"/>
  <sheetViews>
    <sheetView topLeftCell="Z55" workbookViewId="0">
      <selection activeCell="A57" sqref="A57:XFD57"/>
    </sheetView>
  </sheetViews>
  <sheetFormatPr baseColWidth="8" defaultColWidth="12.5703125" defaultRowHeight="15" customHeight="1"/>
  <cols>
    <col width="11.28515625" bestFit="1" customWidth="1" style="62" min="1" max="1"/>
    <col width="10" bestFit="1" customWidth="1" style="62" min="2" max="2"/>
    <col width="10.7109375" bestFit="1" customWidth="1" style="62" min="3" max="3"/>
    <col width="7.7109375" bestFit="1" customWidth="1" style="62" min="4" max="4"/>
    <col width="8.42578125" bestFit="1" customWidth="1" style="62" min="5" max="5"/>
    <col width="5.7109375" bestFit="1" customWidth="1" style="62" min="6" max="6"/>
    <col width="40.7109375" bestFit="1" customWidth="1" style="62" min="7" max="7"/>
    <col width="13.28515625" bestFit="1" customWidth="1" style="62" min="8" max="8"/>
    <col width="5.140625" bestFit="1" customWidth="1" style="62" min="9" max="9"/>
    <col width="8.28515625" bestFit="1" customWidth="1" style="62" min="10" max="10"/>
    <col width="3.140625" bestFit="1" customWidth="1" style="62" min="11" max="11"/>
    <col width="19.5703125" bestFit="1" customWidth="1" style="62" min="12" max="12"/>
    <col width="16" bestFit="1" customWidth="1" style="62" min="13" max="13"/>
    <col width="38.5703125" bestFit="1" customWidth="1" style="62" min="14" max="14"/>
    <col width="11.140625" bestFit="1" customWidth="1" style="62" min="15" max="15"/>
    <col width="23.5703125" customWidth="1" style="62" min="16" max="16"/>
    <col width="16.7109375" bestFit="1" customWidth="1" style="62" min="17" max="17"/>
    <col width="19.140625" bestFit="1" customWidth="1" style="62" min="18" max="18"/>
    <col width="7" bestFit="1" customWidth="1" style="62" min="19" max="19"/>
    <col width="12.7109375" bestFit="1" customWidth="1" style="62" min="20" max="20"/>
    <col width="12.42578125" bestFit="1" customWidth="1" style="62" min="21" max="21"/>
    <col width="18.85546875" bestFit="1" customWidth="1" style="62" min="22" max="22"/>
    <col width="8.42578125" customWidth="1" style="62" min="23" max="23"/>
    <col width="15.85546875" customWidth="1" style="62" min="24" max="24"/>
    <col width="27.140625" bestFit="1" customWidth="1" style="62" min="25" max="25"/>
    <col width="17.7109375" bestFit="1" customWidth="1" style="62" min="26" max="26"/>
    <col width="15.140625" bestFit="1" customWidth="1" style="62" min="27" max="27"/>
    <col width="35.42578125" customWidth="1" style="62" min="28" max="28"/>
    <col width="35.85546875" customWidth="1" style="62" min="29" max="29"/>
    <col width="21" customWidth="1" style="62" min="30" max="30"/>
    <col width="3.28515625" bestFit="1" customWidth="1" style="62" min="31" max="31"/>
    <col width="18.5703125" bestFit="1" customWidth="1" style="62" min="32" max="32"/>
    <col width="27.140625" bestFit="1" customWidth="1" style="62" min="33" max="33"/>
    <col width="18.140625" bestFit="1" customWidth="1" style="62" min="34" max="34"/>
    <col width="26.5703125" bestFit="1" customWidth="1" style="62" min="35" max="35"/>
    <col width="18.7109375" bestFit="1" customWidth="1" style="62" min="36" max="36"/>
    <col width="21.28515625" bestFit="1" customWidth="1" style="62" min="37" max="37"/>
    <col width="16.42578125" bestFit="1" customWidth="1" style="62" min="38" max="38"/>
    <col width="26.42578125" bestFit="1" customWidth="1" style="62" min="39" max="39"/>
    <col width="33.28515625" bestFit="1" customWidth="1" style="62" min="40" max="40"/>
    <col width="24" bestFit="1" customWidth="1" style="62" min="41" max="41"/>
    <col width="19.85546875" bestFit="1" customWidth="1" style="62" min="42" max="42"/>
    <col width="26.5703125" bestFit="1" customWidth="1" style="62" min="43" max="43"/>
    <col width="37.140625" bestFit="1" customWidth="1" style="62" min="44" max="44"/>
    <col width="17.7109375" bestFit="1" customWidth="1" style="62" min="45" max="45"/>
    <col width="25" bestFit="1" customWidth="1" style="62" min="46" max="46"/>
    <col width="28.5703125" bestFit="1" customWidth="1" style="62" min="47" max="47"/>
    <col width="35.7109375" bestFit="1" customWidth="1" style="62" min="48" max="48"/>
    <col width="22.85546875" bestFit="1" customWidth="1" style="62" min="49" max="49"/>
    <col width="29.28515625" bestFit="1" customWidth="1" style="62" min="50" max="50"/>
    <col width="36.42578125" bestFit="1" customWidth="1" style="62" min="51" max="51"/>
    <col width="12.42578125" bestFit="1" customWidth="1" style="62" min="52" max="52"/>
    <col width="23" bestFit="1" customWidth="1" style="62" min="53" max="53"/>
    <col width="10" bestFit="1" customWidth="1" style="62" min="54" max="54"/>
    <col width="20.42578125" bestFit="1" customWidth="1" style="62" min="55" max="55"/>
    <col width="29" bestFit="1" customWidth="1" style="62" min="56" max="56"/>
    <col width="17.140625" bestFit="1" customWidth="1" style="62" min="57" max="57"/>
    <col width="12.5703125" customWidth="1" style="62" min="58" max="16384"/>
  </cols>
  <sheetData>
    <row r="1">
      <c r="A1" s="60" t="inlineStr">
        <is>
          <t>First Name</t>
        </is>
      </c>
      <c r="B1" s="60" t="inlineStr">
        <is>
          <t>Last Name</t>
        </is>
      </c>
      <c r="C1" s="60" t="inlineStr">
        <is>
          <t>Phone Number</t>
        </is>
      </c>
      <c r="D1" s="60" t="inlineStr">
        <is>
          <t>Age</t>
        </is>
      </c>
      <c r="E1" s="60" t="inlineStr">
        <is>
          <t>Dob</t>
        </is>
      </c>
      <c r="F1" s="60" t="inlineStr">
        <is>
          <t>Gender</t>
        </is>
      </c>
      <c r="G1" s="60" t="inlineStr">
        <is>
          <t>Mailing Address</t>
        </is>
      </c>
      <c r="H1" s="60" t="inlineStr">
        <is>
          <t>Birth State:</t>
        </is>
      </c>
      <c r="I1" s="60" t="inlineStr">
        <is>
          <t>Height</t>
        </is>
      </c>
      <c r="J1" s="60" t="inlineStr">
        <is>
          <t>Weight</t>
        </is>
      </c>
      <c r="K1" s="60" t="inlineStr">
        <is>
          <t>Yes</t>
        </is>
      </c>
      <c r="L1" s="60" t="inlineStr">
        <is>
          <t>Email</t>
        </is>
      </c>
      <c r="M1" s="60" t="inlineStr">
        <is>
          <t>Burial/cremation</t>
        </is>
      </c>
      <c r="N1" s="60" t="inlineStr">
        <is>
          <t>Primary beneficiary name</t>
        </is>
      </c>
      <c r="O1" s="60" t="inlineStr">
        <is>
          <t>Relation</t>
        </is>
      </c>
      <c r="P1" s="60" t="inlineStr">
        <is>
          <t>Secondary beneficiary name</t>
        </is>
      </c>
      <c r="Q1" s="60" t="inlineStr">
        <is>
          <t>Relation</t>
        </is>
      </c>
      <c r="R1" s="60" t="inlineStr">
        <is>
          <t>Carrier</t>
        </is>
      </c>
      <c r="S1" s="60" t="inlineStr">
        <is>
          <t>Coverage</t>
        </is>
      </c>
      <c r="T1" s="60" t="inlineStr">
        <is>
          <t>Monthly Premium</t>
        </is>
      </c>
      <c r="U1" s="60" t="inlineStr">
        <is>
          <t>1st premium date</t>
        </is>
      </c>
      <c r="V1" s="60" t="inlineStr">
        <is>
          <t>Monthly recurring due date</t>
        </is>
      </c>
      <c r="W1" s="60" t="inlineStr">
        <is>
          <t>SSN</t>
        </is>
      </c>
      <c r="X1" s="60" t="inlineStr">
        <is>
          <t>Diver's Lisance</t>
        </is>
      </c>
      <c r="Y1" s="60" t="inlineStr">
        <is>
          <t>Bank name</t>
        </is>
      </c>
      <c r="Z1" s="60" t="inlineStr">
        <is>
          <t>Routing</t>
        </is>
      </c>
      <c r="AA1" s="60" t="inlineStr">
        <is>
          <t>Acc</t>
        </is>
      </c>
      <c r="AB1" s="60" t="inlineStr">
        <is>
          <t>Health</t>
        </is>
      </c>
      <c r="AC1" s="60" t="inlineStr">
        <is>
          <t>Medications</t>
        </is>
      </c>
      <c r="AD1" s="60" t="inlineStr">
        <is>
          <t>Doctor name</t>
        </is>
      </c>
      <c r="AE1" s="61" t="inlineStr">
        <is>
          <t>Age</t>
        </is>
      </c>
      <c r="AF1" s="79" t="inlineStr">
        <is>
          <t>aflac Monthly Quote</t>
        </is>
      </c>
      <c r="AG1" s="79" t="inlineStr">
        <is>
          <t>aflac-modified Monthly Quote</t>
        </is>
      </c>
      <c r="AH1" s="79" t="inlineStr">
        <is>
          <t>SBLI Monthly Quote</t>
        </is>
      </c>
      <c r="AI1" s="79" t="inlineStr">
        <is>
          <t>SBLI-Modified Monthly Quote</t>
        </is>
      </c>
      <c r="AJ1" s="79" t="inlineStr">
        <is>
          <t>CICA Monthly Quote</t>
        </is>
      </c>
      <c r="AK1" s="79" t="inlineStr">
        <is>
          <t>CICA-GI Monthly Quote</t>
        </is>
      </c>
      <c r="AL1" s="79" t="inlineStr">
        <is>
          <t>gtl Monthly Quote</t>
        </is>
      </c>
      <c r="AM1" s="79" t="inlineStr">
        <is>
          <t>TransAmerica Monthly Quote</t>
        </is>
      </c>
      <c r="AN1" s="79" t="inlineStr">
        <is>
          <t>TransAmerica Graded Monthly Quote</t>
        </is>
      </c>
      <c r="AO1" s="79" t="inlineStr">
        <is>
          <t>Corebridge Monthly Quote</t>
        </is>
      </c>
      <c r="AP1" s="79" t="inlineStr">
        <is>
          <t>amam Monthly Quote</t>
        </is>
      </c>
      <c r="AQ1" s="79" t="inlineStr">
        <is>
          <t>amam-graded Monthly Quote</t>
        </is>
      </c>
      <c r="AR1" s="79" t="inlineStr">
        <is>
          <t>amam-return-or-premium Monthly Quote</t>
        </is>
      </c>
      <c r="AS1" s="79" t="inlineStr">
        <is>
          <t>AHL Monthly Quote</t>
        </is>
      </c>
      <c r="AT1" s="79" t="inlineStr">
        <is>
          <t>AHL-Graded Monthly Quote</t>
        </is>
      </c>
      <c r="AU1" s="79" t="inlineStr">
        <is>
          <t>Royal Neighbors Monthly Quote</t>
        </is>
      </c>
      <c r="AV1" s="79" t="inlineStr">
        <is>
          <t>Royal Neighbors-Graded Monthly Quote</t>
        </is>
      </c>
      <c r="AW1" s="79" t="inlineStr">
        <is>
          <t>Gerber-GI Monthly Quote</t>
        </is>
      </c>
      <c r="AX1" s="79" t="inlineStr">
        <is>
          <t>Mutual of Omaha Monthly Quote</t>
        </is>
      </c>
      <c r="AY1" s="79" t="inlineStr">
        <is>
          <t>Mutual of Omaha-Graded Monthly Quote</t>
        </is>
      </c>
      <c r="AZ1" s="81" t="inlineStr">
        <is>
          <t>AmAm Quote</t>
        </is>
      </c>
      <c r="BA1" s="81" t="inlineStr">
        <is>
          <t>AmAm Less Than Current</t>
        </is>
      </c>
      <c r="BB1" s="81" t="inlineStr">
        <is>
          <t>GTL Quote</t>
        </is>
      </c>
      <c r="BC1" s="81" t="inlineStr">
        <is>
          <t>GTL Less Than Current</t>
        </is>
      </c>
      <c r="BD1" s="81" t="inlineStr">
        <is>
          <t>Cheapest Carrier Under Current</t>
        </is>
      </c>
      <c r="BE1" s="81" t="inlineStr">
        <is>
          <t>Savings vs Current</t>
        </is>
      </c>
    </row>
    <row r="2">
      <c r="A2" s="63" t="inlineStr">
        <is>
          <t>Nancy</t>
        </is>
      </c>
      <c r="B2" s="63" t="inlineStr">
        <is>
          <t>Franzwa</t>
        </is>
      </c>
      <c r="C2" s="64" t="n">
        <v>3096456388</v>
      </c>
      <c r="D2" s="64" t="n">
        <v>81</v>
      </c>
      <c r="E2" s="65" t="n">
        <v>15297</v>
      </c>
      <c r="F2" s="63" t="inlineStr">
        <is>
          <t>Female</t>
        </is>
      </c>
      <c r="G2" s="63" t="inlineStr">
        <is>
          <t>7501-N Villa Lake Dr.Unit 13B Peoria IL 61614</t>
        </is>
      </c>
      <c r="H2" s="63" t="inlineStr">
        <is>
          <t>IN</t>
        </is>
      </c>
      <c r="I2" s="64" t="n">
        <v>5.6</v>
      </c>
      <c r="J2" s="64" t="n">
        <v>145</v>
      </c>
      <c r="K2" s="63" t="inlineStr">
        <is>
          <t>No</t>
        </is>
      </c>
      <c r="L2" s="63" t="inlineStr">
        <is>
          <t>NA</t>
        </is>
      </c>
      <c r="M2" s="63" t="inlineStr">
        <is>
          <t>Cremation</t>
        </is>
      </c>
      <c r="N2" s="63" t="inlineStr">
        <is>
          <t>Robert Franzwa ( 12/29/1938 )</t>
        </is>
      </c>
      <c r="O2" s="63" t="inlineStr">
        <is>
          <t>Spouse</t>
        </is>
      </c>
      <c r="P2" s="63" t="inlineStr">
        <is>
          <t>NA</t>
        </is>
      </c>
      <c r="Q2" s="63" t="inlineStr">
        <is>
          <t>NA</t>
        </is>
      </c>
      <c r="R2" s="63" t="inlineStr">
        <is>
          <t>Transamerica ( Standard )</t>
        </is>
      </c>
      <c r="S2" s="66" t="n">
        <v>2500</v>
      </c>
      <c r="T2" s="64" t="n">
        <v>48.64</v>
      </c>
      <c r="U2" s="65" t="n">
        <v>45933</v>
      </c>
      <c r="V2" s="65" t="n">
        <v>45964</v>
      </c>
      <c r="W2" s="64" t="n">
        <v>315423988</v>
      </c>
      <c r="X2" s="63" t="inlineStr">
        <is>
          <t>NA</t>
        </is>
      </c>
      <c r="Y2" s="63" t="inlineStr">
        <is>
          <t>SEFCU Bank</t>
        </is>
      </c>
      <c r="Z2" s="64" t="n">
        <v>271183701</v>
      </c>
      <c r="AA2" s="64" t="n">
        <v>104569736</v>
      </c>
      <c r="AB2" s="63" t="inlineStr">
        <is>
          <t>Stroke 2023 / High Blood Pressure</t>
        </is>
      </c>
      <c r="AC2" s="63" t="inlineStr">
        <is>
          <t>licinopril</t>
        </is>
      </c>
      <c r="AD2" s="63" t="inlineStr">
        <is>
          <t>OSF Healthcare Saint Francis</t>
        </is>
      </c>
      <c r="AE2" s="64" t="n">
        <v>84</v>
      </c>
      <c r="AF2" s="80">
        <f t="array" ref="AF2">IFERROR(_xlfn.LET(_xlpm.rate,INDEX(aflac!$B$2:$E$37,MATCH($AE2,aflac!$A$2:$A$37,0),IF(LOWER(TRIM($F2))="male",IF(LOWER(TRIM($K2))="yes",2,1),IF(LOWER(TRIM($K2))="yes",4,3))),_xlpm.coverage,VALUE(SUBSTITUTE(SUBSTITUTE($S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" s="80">
        <f t="array" ref="AG2">IFERROR(_xlfn.LET(_xlpm.rate,INDEX('aflac-modified'!$B$2:$C$32,MATCH($AE2,'aflac-modified'!$A$2:$A$32,0),IF(LOWER(TRIM($F2))="male",1,2)),_xlpm.coverage,VALUE(SUBSTITUTE(SUBSTITUTE($S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" s="80">
        <f t="array" ref="AH2">IFERROR(_xlfn.LET(_xlpm.rate,INDEX(SBLI!$B$2:$E$37,MATCH($AE2,SBLI!$A$2:$A$37,0),IF(LOWER(TRIM($F2))="male",IF(LOWER(TRIM($K2))="yes",2,1),IF(LOWER(TRIM($K2))="yes",4,3))),_xlpm.coverage,VALUE(SUBSTITUTE(SUBSTITUTE($S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" s="80">
        <f t="array" ref="AI2">IFERROR(_xlfn.LET(_xlpm.rate,INDEX('SBLI-Modified'!$B$2:$E$27,MATCH($AE2,'SBLI-Modified'!$A$2:$A$27,0),IF(LOWER(TRIM($F2))="male",IF(LOWER(TRIM($K2))="yes",2,1),IF(LOWER(TRIM($K2))="yes",4,3))),_xlpm.coverage,VALUE(SUBSTITUTE(SUBSTITUTE($S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" s="80">
        <f t="array" ref="AJ2">IFERROR(_xlfn.LET(_xlpm.rate,INDEX(CICA!$B$2:$C$42,MATCH($AE2,CICA!$A$2:$A$42,0),IF(LOWER(TRIM($F2))="male",1,2)),_xlpm.coverage,VALUE(SUBSTITUTE(SUBSTITUTE($S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" s="80">
        <f t="array" ref="AK2">IFERROR(_xlfn.LET(_xlpm.rate,INDEX('CICA-GI'!$B$2:$C$47,MATCH($AE2,'CICA-GI'!$A$2:$A$47,0),IF(LOWER(TRIM($F2))="male",1,2)),_xlpm.coverage,VALUE(SUBSTITUTE(SUBSTITUTE($S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" s="80">
        <f t="array" ref="AL2">IFERROR(_xlfn.LET(_xlpm.rate,INDEX(gtl!$B$2:$C$52,MATCH($AE2,gtl!$A$2:$A$52,0),IF(LOWER(TRIM($F2))="male",1,2)),_xlpm.coverage,VALUE(SUBSTITUTE(SUBSTITUTE($S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" s="80">
        <f t="array" ref="AM2">IFERROR(_xlfn.LET(_xlpm.rate,INDEX(TransAmerica!$B$2:$E$69,MATCH($AE2,TransAmerica!$A$2:$A$69,0),IF(LOWER(TRIM($F2))="male",IF(LOWER(TRIM($K2))="yes",2,1),IF(LOWER(TRIM($K2))="yes",4,3))),_xlpm.coverage,VALUE(SUBSTITUTE(SUBSTITUTE($S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" s="80">
        <f t="array" ref="AN2">IFERROR(_xlfn.LET(_xlpm.rate,INDEX('TransAmerica Graded'!$B$2:$E$64,MATCH($AE2,'TransAmerica Graded'!$A$2:$A$64,0),IF(LOWER(TRIM($F2))="male",IF(LOWER(TRIM($K2))="yes",2,1),IF(LOWER(TRIM($K2))="yes",4,3))),_xlpm.coverage,VALUE(SUBSTITUTE(SUBSTITUTE($S2,"$",""),",","")),_xlpm.base,_xlpm.rate*(_xlpm.coverage/1000),_xlpm.fee,_xlfn.XLOOKUP("TransAmerica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" s="80">
        <f t="array" ref="AO2">IFERROR(_xlfn.LET(_xlpm.rate,INDEX(Corebridge!$B$2:$C$32,MATCH($AE2,Corebridge!$A$2:$A$32,0),IF(LOWER(TRIM($F2))="male",1,2)),_xlpm.coverage,VALUE(SUBSTITUTE(SUBSTITUTE($S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" s="80">
        <f t="array" ref="AP2">IFERROR(_xlfn.LET(_xlpm.rate,INDEX(amam!$B$2:$E$37,MATCH($AE2,amam!$A$2:$A$37,0),IF(LOWER(TRIM($F2))="male",IF(LOWER(TRIM($K2))="yes",2,1),IF(LOWER(TRIM($K2))="yes",4,3))),_xlpm.coverage,VALUE(SUBSTITUTE(SUBSTITUTE($S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" s="80">
        <f t="array" ref="AQ2">IFERROR(_xlfn.LET(_xlpm.rate,INDEX('amam-graded'!$B$2:$E$37,MATCH($AE2,'amam-graded'!$A$2:$A$37,0),IF(LOWER(TRIM($F2))="male",IF(LOWER(TRIM($K2))="yes",2,1),IF(LOWER(TRIM($K2))="yes",4,3))),_xlpm.coverage,VALUE(SUBSTITUTE(SUBSTITUTE($S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" s="80">
        <f t="array" ref="AR2">IFERROR(_xlfn.LET(_xlpm.rate,INDEX('amam-return-or-premium'!$B$2:$E$37,MATCH($AE2,'amam-return-or-premium'!$A$2:$A$37,0),IF(LOWER(TRIM($F2))="male",IF(LOWER(TRIM($K2))="yes",2,1),IF(LOWER(TRIM($K2))="yes",4,3))),_xlpm.coverage,VALUE(SUBSTITUTE(SUBSTITUTE($S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" s="80">
        <f t="array" ref="AS2">IFERROR(_xlfn.LET(_xlpm.rate,INDEX(AHL!$B$2:$E$37,MATCH($AE2,AHL!$A$2:$A$37,0),IF(LOWER(TRIM($F2))="male",IF(LOWER(TRIM($K2))="yes",2,1),IF(LOWER(TRIM($K2))="yes",4,3))),_xlpm.coverage,VALUE(SUBSTITUTE(SUBSTITUTE($S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" s="80">
        <f t="array" ref="AT2">IFERROR(_xlfn.LET(_xlpm.rate,INDEX('AHL-Graded'!$B$2:$E$32,MATCH($AE2,'AHL-Graded'!$A$2:$A$32,0),IF(LOWER(TRIM($F2))="male",IF(LOWER(TRIM($K2))="yes",2,1),IF(LOWER(TRIM($K2))="yes",4,3))),_xlpm.coverage,VALUE(SUBSTITUTE(SUBSTITUTE($S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" s="80">
        <f t="array" ref="AU2">IFERROR(_xlfn.LET(_xlpm.rate,INDEX('Royal Neighbors'!$B$2:$E$37,MATCH($AE2,'Royal Neighbors'!$A$2:$A$37,0),IF(LOWER(TRIM($F2))="male",IF(LOWER(TRIM($K2))="yes",2,1),IF(LOWER(TRIM($K2))="yes",4,3))),_xlpm.coverage,VALUE(SUBSTITUTE(SUBSTITUTE($S2,"$",""),",","")),_xlpm.base,_xlpm.rate*(_xlpm.coverage/1000),_xlpm.fee,_xlfn.XLOOKUP("Royal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" s="80">
        <f t="array" ref="AV2">IFERROR(_xlfn.LET(_xlpm.rate,INDEX('Royal Neighbors-Graded'!$B$2:$E$37,MATCH($AE2,'Royal Neighbors-Graded'!$A$2:$A$37,0),IF(LOWER(TRIM($F2))="male",IF(LOWER(TRIM($K2))="yes",2,1),IF(LOWER(TRIM($K2))="yes",4,3))),_xlpm.coverage,VALUE(SUBSTITUTE(SUBSTITUTE($S2,"$",""),",","")),_xlpm.base,_xlpm.rate*(_xlpm.coverage/1000),_xlpm.fee,_xlfn.XLOOKUP("Royal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" s="80">
        <f t="array" ref="AW2">IFERROR(_xlfn.LET(_xlpm.rate,INDEX('Gerber-GI'!$B$2:$C$32,MATCH($AE2,'Gerber-GI'!$A$2:$A$32,0),IF(LOWER(TRIM($F2))="male",1,2)),_xlpm.coverage,VALUE(SUBSTITUTE(SUBSTITUTE($S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" s="80">
        <f t="array" ref="AX2">IFERROR(_xlfn.LET(_xlpm.rate,INDEX('Mutual of Omaha'!$B$2:$E$42,MATCH($AE2,'Mutual of Omaha'!$A$2:$A$42,0),IF(LOWER(TRIM($F2))="male",IF(LOWER(TRIM($K2))="yes",2,1),IF(LOWER(TRIM($K2))="yes",4,3))),_xlpm.coverage,VALUE(SUBSTITUTE(SUBSTITUTE($S2,"$",""),",","")),_xlpm.base,_xlpm.rate*(_xlpm.coverage/1000),_xlpm.fee,_xlfn.XLOOKUP("Mutal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" s="80">
        <f t="array" ref="AY2">IFERROR(_xlfn.LET(_xlpm.rate,INDEX('Mutual of Omaha-Graded'!$B$2:$E$37,MATCH($AE2,'Mutual of Omaha-Graded'!$A$2:$A$37,0),IF(LOWER(TRIM($F2))="male",IF(LOWER(TRIM($K2))="yes",2,1),IF(LOWER(TRIM($K2))="yes",4,3))),_xlpm.coverage,VALUE(SUBSTITUTE(SUBSTITUTE($S2,"$",""),",","")),_xlpm.base,_xlpm.rate*(_xlpm.coverage/1000),_xlpm.fee,_xlfn.XLOOKUP("Mutual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" s="80">
        <f>AP2</f>
        <v/>
      </c>
      <c r="BA2" s="80">
        <f>IFERROR(IF(AND(AP2&gt;0,AP2&lt;VALUE(SUBSTITUTE(SUBSTITUTE($T2,"$",""),",",""))),VALUE(SUBSTITUTE(SUBSTITUTE($T2,"$",""),",",""))-AP2,""),"")</f>
        <v/>
      </c>
      <c r="BB2" s="80">
        <f>AL2</f>
        <v/>
      </c>
      <c r="BC2" s="80">
        <f>IFERROR(IF(AND(AL2&gt;0,AL2&lt;VALUE(SUBSTITUTE(SUBSTITUTE($T2,"$",""),",",""))),VALUE(SUBSTITUTE(SUBSTITUTE($T2,"$",""),",",""))-AL2,""),"")</f>
        <v/>
      </c>
      <c r="BD2">
        <f t="array" ref="BD2">IFERROR(_xlfn.LET(_xlpm.current,VALUE(SUBSTITUTE(SUBSTITUTE($T2,"$",""),",","")),_xlpm.quotes,AF2:AY2,_xlpm.lowest,_xlfn.MINIFS(_xlpm.quotes,_xlpm.quotes,"&lt;"&amp;_xlpm.current,_xlpm.quotes,"&gt;0"),IF(_xlpm.lowest="","",SUBSTITUTE(INDEX($AF$1:$AY$1,1,MATCH(_xlpm.lowest,_xlpm.quotes,0))," Monthly Quote",""))),"")</f>
        <v/>
      </c>
      <c r="BE2" s="80">
        <f t="array" ref="BE2">IFERROR(_xlfn.LET(_xlpm.current,VALUE(SUBSTITUTE(SUBSTITUTE($T2,"$",""),",","")),_xlpm.quotes,AF2:AY2,_xlpm.lowest,_xlfn.MINIFS(_xlpm.quotes,_xlpm.quotes,"&lt;"&amp;_xlpm.current,_xlpm.quotes,"&gt;0"),IF(_xlpm.lowest="","",_xlpm.current-_xlpm.lowest)),"")</f>
        <v/>
      </c>
    </row>
    <row r="3">
      <c r="A3" s="67" t="inlineStr">
        <is>
          <t>Margie R</t>
        </is>
      </c>
      <c r="B3" s="67" t="inlineStr">
        <is>
          <t>Wiltbank</t>
        </is>
      </c>
      <c r="C3" s="68" t="n">
        <v>8327106495</v>
      </c>
      <c r="D3" s="68" t="n">
        <v>84</v>
      </c>
      <c r="E3" s="69" t="n">
        <v>14988</v>
      </c>
      <c r="F3" s="67" t="inlineStr">
        <is>
          <t>Female</t>
        </is>
      </c>
      <c r="G3" s="67" t="inlineStr">
        <is>
          <t>7706 Pebble Run Ct Houston TX 77095</t>
        </is>
      </c>
      <c r="H3" s="67" t="inlineStr">
        <is>
          <t>TX</t>
        </is>
      </c>
      <c r="I3" s="68" t="n">
        <v>5.6</v>
      </c>
      <c r="J3" s="68" t="n">
        <v>165</v>
      </c>
      <c r="K3" s="67" t="inlineStr">
        <is>
          <t>No</t>
        </is>
      </c>
      <c r="L3" s="67" t="n"/>
      <c r="M3" s="67" t="inlineStr">
        <is>
          <t>Cremation</t>
        </is>
      </c>
      <c r="N3" s="67" t="inlineStr">
        <is>
          <t>Rodrick Davis : (66)</t>
        </is>
      </c>
      <c r="O3" s="67" t="inlineStr">
        <is>
          <t>Son</t>
        </is>
      </c>
      <c r="P3" s="67" t="n"/>
      <c r="Q3" s="67" t="n"/>
      <c r="R3" s="67" t="inlineStr">
        <is>
          <t>Transamerica</t>
        </is>
      </c>
      <c r="S3" s="70" t="n">
        <v>5000</v>
      </c>
      <c r="T3" s="71" t="n">
        <v>76.17</v>
      </c>
      <c r="U3" s="69" t="n">
        <v>45966</v>
      </c>
      <c r="V3" s="69" t="n">
        <v>45996</v>
      </c>
      <c r="W3" s="68" t="n">
        <v>465643045</v>
      </c>
      <c r="X3" s="67" t="n"/>
      <c r="Y3" s="67" t="inlineStr">
        <is>
          <t>FIRST COMMUNITY BANK</t>
        </is>
      </c>
      <c r="Z3" s="67" t="inlineStr">
        <is>
          <t>Card : 4777480009752095</t>
        </is>
      </c>
      <c r="AA3" s="67" t="inlineStr">
        <is>
          <t>EXP 01/28 CVC 268</t>
        </is>
      </c>
      <c r="AB3" s="67" t="inlineStr">
        <is>
          <t>High blood Pressure knee surgery</t>
        </is>
      </c>
      <c r="AC3" s="67" t="inlineStr">
        <is>
          <t>4 pills</t>
        </is>
      </c>
      <c r="AD3" s="67" t="inlineStr">
        <is>
          <t>NO</t>
        </is>
      </c>
      <c r="AE3" s="68" t="n">
        <v>85</v>
      </c>
      <c r="AF3" s="80">
        <f t="array" ref="AF3">IFERROR(_xlfn.LET(_xlpm.rate,INDEX(aflac!$B$2:$E$37,MATCH($AE3,aflac!$A$2:$A$37,0),IF(LOWER(TRIM($F3))="male",IF(LOWER(TRIM($K3))="yes",2,1),IF(LOWER(TRIM($K3))="yes",4,3))),_xlpm.coverage,VALUE(SUBSTITUTE(SUBSTITUTE($S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" s="80">
        <f t="array" ref="AG3">IFERROR(_xlfn.LET(_xlpm.rate,INDEX('aflac-modified'!$B$2:$C$32,MATCH($AE3,'aflac-modified'!$A$2:$A$32,0),IF(LOWER(TRIM($F3))="male",1,2)),_xlpm.coverage,VALUE(SUBSTITUTE(SUBSTITUTE($S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" s="80">
        <f t="array" ref="AH3">IFERROR(_xlfn.LET(_xlpm.rate,INDEX(SBLI!$B$2:$E$37,MATCH($AE3,SBLI!$A$2:$A$37,0),IF(LOWER(TRIM($F3))="male",IF(LOWER(TRIM($K3))="yes",2,1),IF(LOWER(TRIM($K3))="yes",4,3))),_xlpm.coverage,VALUE(SUBSTITUTE(SUBSTITUTE($S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" s="80">
        <f t="array" ref="AI3">IFERROR(_xlfn.LET(_xlpm.rate,INDEX('SBLI-Modified'!$B$2:$E$27,MATCH($AE3,'SBLI-Modified'!$A$2:$A$27,0),IF(LOWER(TRIM($F3))="male",IF(LOWER(TRIM($K3))="yes",2,1),IF(LOWER(TRIM($K3))="yes",4,3))),_xlpm.coverage,VALUE(SUBSTITUTE(SUBSTITUTE($S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" s="80">
        <f t="array" ref="AJ3">IFERROR(_xlfn.LET(_xlpm.rate,INDEX(CICA!$B$2:$C$42,MATCH($AE3,CICA!$A$2:$A$42,0),IF(LOWER(TRIM($F3))="male",1,2)),_xlpm.coverage,VALUE(SUBSTITUTE(SUBSTITUTE($S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" s="80">
        <f t="array" ref="AK3">IFERROR(_xlfn.LET(_xlpm.rate,INDEX('CICA-GI'!$B$2:$C$47,MATCH($AE3,'CICA-GI'!$A$2:$A$47,0),IF(LOWER(TRIM($F3))="male",1,2)),_xlpm.coverage,VALUE(SUBSTITUTE(SUBSTITUTE($S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" s="80">
        <f t="array" ref="AL3">IFERROR(_xlfn.LET(_xlpm.rate,INDEX(gtl!$B$2:$C$52,MATCH($AE3,gtl!$A$2:$A$52,0),IF(LOWER(TRIM($F3))="male",1,2)),_xlpm.coverage,VALUE(SUBSTITUTE(SUBSTITUTE($S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" s="80">
        <f t="array" ref="AM3">IFERROR(_xlfn.LET(_xlpm.rate,INDEX(TransAmerica!$B$2:$E$69,MATCH($AE3,TransAmerica!$A$2:$A$69,0),IF(LOWER(TRIM($F3))="male",IF(LOWER(TRIM($K3))="yes",2,1),IF(LOWER(TRIM($K3))="yes",4,3))),_xlpm.coverage,VALUE(SUBSTITUTE(SUBSTITUTE($S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" s="80">
        <f t="array" ref="AN3">IFERROR(_xlfn.LET(_xlpm.rate,INDEX('TransAmerica Graded'!$B$2:$E$64,MATCH($AE3,'TransAmerica Graded'!$A$2:$A$64,0),IF(LOWER(TRIM($F3))="male",IF(LOWER(TRIM($K3))="yes",2,1),IF(LOWER(TRIM($K3))="yes",4,3))),_xlpm.coverage,VALUE(SUBSTITUTE(SUBSTITUTE($S3,"$",""),",","")),_xlpm.base,_xlpm.rate*(_xlpm.coverage/1000),_xlpm.fee,_xlfn.XLOOKUP("TransAmerica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" s="80">
        <f t="array" ref="AO3">IFERROR(_xlfn.LET(_xlpm.rate,INDEX(Corebridge!$B$2:$C$32,MATCH($AE3,Corebridge!$A$2:$A$32,0),IF(LOWER(TRIM($F3))="male",1,2)),_xlpm.coverage,VALUE(SUBSTITUTE(SUBSTITUTE($S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" s="80">
        <f t="array" ref="AP3">IFERROR(_xlfn.LET(_xlpm.rate,INDEX(amam!$B$2:$E$37,MATCH($AE3,amam!$A$2:$A$37,0),IF(LOWER(TRIM($F3))="male",IF(LOWER(TRIM($K3))="yes",2,1),IF(LOWER(TRIM($K3))="yes",4,3))),_xlpm.coverage,VALUE(SUBSTITUTE(SUBSTITUTE($S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" s="80">
        <f t="array" ref="AQ3">IFERROR(_xlfn.LET(_xlpm.rate,INDEX('amam-graded'!$B$2:$E$37,MATCH($AE3,'amam-graded'!$A$2:$A$37,0),IF(LOWER(TRIM($F3))="male",IF(LOWER(TRIM($K3))="yes",2,1),IF(LOWER(TRIM($K3))="yes",4,3))),_xlpm.coverage,VALUE(SUBSTITUTE(SUBSTITUTE($S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" s="80">
        <f t="array" ref="AR3">IFERROR(_xlfn.LET(_xlpm.rate,INDEX('amam-return-or-premium'!$B$2:$E$37,MATCH($AE3,'amam-return-or-premium'!$A$2:$A$37,0),IF(LOWER(TRIM($F3))="male",IF(LOWER(TRIM($K3))="yes",2,1),IF(LOWER(TRIM($K3))="yes",4,3))),_xlpm.coverage,VALUE(SUBSTITUTE(SUBSTITUTE($S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" s="80">
        <f t="array" ref="AS3">IFERROR(_xlfn.LET(_xlpm.rate,INDEX(AHL!$B$2:$E$37,MATCH($AE3,AHL!$A$2:$A$37,0),IF(LOWER(TRIM($F3))="male",IF(LOWER(TRIM($K3))="yes",2,1),IF(LOWER(TRIM($K3))="yes",4,3))),_xlpm.coverage,VALUE(SUBSTITUTE(SUBSTITUTE($S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" s="80">
        <f t="array" ref="AT3">IFERROR(_xlfn.LET(_xlpm.rate,INDEX('AHL-Graded'!$B$2:$E$32,MATCH($AE3,'AHL-Graded'!$A$2:$A$32,0),IF(LOWER(TRIM($F3))="male",IF(LOWER(TRIM($K3))="yes",2,1),IF(LOWER(TRIM($K3))="yes",4,3))),_xlpm.coverage,VALUE(SUBSTITUTE(SUBSTITUTE($S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" s="80">
        <f t="array" ref="AU3">IFERROR(_xlfn.LET(_xlpm.rate,INDEX('Royal Neighbors'!$B$2:$E$37,MATCH($AE3,'Royal Neighbors'!$A$2:$A$37,0),IF(LOWER(TRIM($F3))="male",IF(LOWER(TRIM($K3))="yes",2,1),IF(LOWER(TRIM($K3))="yes",4,3))),_xlpm.coverage,VALUE(SUBSTITUTE(SUBSTITUTE($S3,"$",""),",","")),_xlpm.base,_xlpm.rate*(_xlpm.coverage/1000),_xlpm.fee,_xlfn.XLOOKUP("Royal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" s="80">
        <f t="array" ref="AV3">IFERROR(_xlfn.LET(_xlpm.rate,INDEX('Royal Neighbors-Graded'!$B$2:$E$37,MATCH($AE3,'Royal Neighbors-Graded'!$A$2:$A$37,0),IF(LOWER(TRIM($F3))="male",IF(LOWER(TRIM($K3))="yes",2,1),IF(LOWER(TRIM($K3))="yes",4,3))),_xlpm.coverage,VALUE(SUBSTITUTE(SUBSTITUTE($S3,"$",""),",","")),_xlpm.base,_xlpm.rate*(_xlpm.coverage/1000),_xlpm.fee,_xlfn.XLOOKUP("Royal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" s="80">
        <f t="array" ref="AW3">IFERROR(_xlfn.LET(_xlpm.rate,INDEX('Gerber-GI'!$B$2:$C$32,MATCH($AE3,'Gerber-GI'!$A$2:$A$32,0),IF(LOWER(TRIM($F3))="male",1,2)),_xlpm.coverage,VALUE(SUBSTITUTE(SUBSTITUTE($S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" s="80">
        <f t="array" ref="AX3">IFERROR(_xlfn.LET(_xlpm.rate,INDEX('Mutual of Omaha'!$B$2:$E$42,MATCH($AE3,'Mutual of Omaha'!$A$2:$A$42,0),IF(LOWER(TRIM($F3))="male",IF(LOWER(TRIM($K3))="yes",2,1),IF(LOWER(TRIM($K3))="yes",4,3))),_xlpm.coverage,VALUE(SUBSTITUTE(SUBSTITUTE($S3,"$",""),",","")),_xlpm.base,_xlpm.rate*(_xlpm.coverage/1000),_xlpm.fee,_xlfn.XLOOKUP("Mutal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" s="80">
        <f t="array" ref="AY3">IFERROR(_xlfn.LET(_xlpm.rate,INDEX('Mutual of Omaha-Graded'!$B$2:$E$37,MATCH($AE3,'Mutual of Omaha-Graded'!$A$2:$A$37,0),IF(LOWER(TRIM($F3))="male",IF(LOWER(TRIM($K3))="yes",2,1),IF(LOWER(TRIM($K3))="yes",4,3))),_xlpm.coverage,VALUE(SUBSTITUTE(SUBSTITUTE($S3,"$",""),",","")),_xlpm.base,_xlpm.rate*(_xlpm.coverage/1000),_xlpm.fee,_xlfn.XLOOKUP("Mutual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" s="80">
        <f>AP3</f>
        <v/>
      </c>
      <c r="BA3" s="80">
        <f>IFERROR(IF(AND(AP3&gt;0,AP3&lt;VALUE(SUBSTITUTE(SUBSTITUTE($T3,"$",""),",",""))),VALUE(SUBSTITUTE(SUBSTITUTE($T3,"$",""),",",""))-AP3,""),"")</f>
        <v/>
      </c>
      <c r="BB3" s="80">
        <f>AL3</f>
        <v/>
      </c>
      <c r="BC3" s="80">
        <f>IFERROR(IF(AND(AL3&gt;0,AL3&lt;VALUE(SUBSTITUTE(SUBSTITUTE($T3,"$",""),",",""))),VALUE(SUBSTITUTE(SUBSTITUTE($T3,"$",""),",",""))-AL3,""),"")</f>
        <v/>
      </c>
      <c r="BD3">
        <f t="array" ref="BD3">IFERROR(_xlfn.LET(_xlpm.current,VALUE(SUBSTITUTE(SUBSTITUTE($T3,"$",""),",","")),_xlpm.quotes,AF3:AY3,_xlpm.lowest,_xlfn.MINIFS(_xlpm.quotes,_xlpm.quotes,"&lt;"&amp;_xlpm.current,_xlpm.quotes,"&gt;0"),IF(_xlpm.lowest="","",SUBSTITUTE(INDEX($AF$1:$AY$1,1,MATCH(_xlpm.lowest,_xlpm.quotes,0))," Monthly Quote",""))),"")</f>
        <v/>
      </c>
      <c r="BE3" s="80">
        <f t="array" ref="BE3">IFERROR(_xlfn.LET(_xlpm.current,VALUE(SUBSTITUTE(SUBSTITUTE($T3,"$",""),",","")),_xlpm.quotes,AF3:AY3,_xlpm.lowest,_xlfn.MINIFS(_xlpm.quotes,_xlpm.quotes,"&lt;"&amp;_xlpm.current,_xlpm.quotes,"&gt;0"),IF(_xlpm.lowest="","",_xlpm.current-_xlpm.lowest)),"")</f>
        <v/>
      </c>
    </row>
    <row r="4">
      <c r="A4" s="67" t="inlineStr">
        <is>
          <t>Diane R</t>
        </is>
      </c>
      <c r="B4" s="67" t="inlineStr">
        <is>
          <t>Patterson</t>
        </is>
      </c>
      <c r="C4" s="68" t="n">
        <v>8189434263</v>
      </c>
      <c r="D4" s="68" t="n">
        <v>75</v>
      </c>
      <c r="E4" s="69" t="n">
        <v>18322</v>
      </c>
      <c r="F4" s="67" t="inlineStr">
        <is>
          <t>Female</t>
        </is>
      </c>
      <c r="G4" s="67" t="inlineStr">
        <is>
          <t>9818 Rhea Ave Northridge CA 91324</t>
        </is>
      </c>
      <c r="H4" s="67" t="inlineStr">
        <is>
          <t>NV</t>
        </is>
      </c>
      <c r="I4" s="68" t="n">
        <v>5.7</v>
      </c>
      <c r="J4" s="68" t="n">
        <v>160</v>
      </c>
      <c r="K4" s="67" t="inlineStr">
        <is>
          <t>No</t>
        </is>
      </c>
      <c r="L4" s="67" t="inlineStr">
        <is>
          <t>dpatte4@dslextreme.com</t>
        </is>
      </c>
      <c r="M4" s="67" t="inlineStr">
        <is>
          <t>Cremation</t>
        </is>
      </c>
      <c r="N4" s="67" t="inlineStr">
        <is>
          <t>Debbie Coit</t>
        </is>
      </c>
      <c r="O4" s="67" t="inlineStr">
        <is>
          <t>Cousin</t>
        </is>
      </c>
      <c r="P4" s="67" t="inlineStr">
        <is>
          <t>NA</t>
        </is>
      </c>
      <c r="Q4" s="67" t="inlineStr">
        <is>
          <t>NA</t>
        </is>
      </c>
      <c r="R4" s="67" t="inlineStr">
        <is>
          <t>Trans America</t>
        </is>
      </c>
      <c r="S4" s="70" t="n">
        <v>5000</v>
      </c>
      <c r="T4" s="68" t="n">
        <v>37.28</v>
      </c>
      <c r="U4" s="69" t="n">
        <v>45992</v>
      </c>
      <c r="V4" s="69" t="n">
        <v>46023</v>
      </c>
      <c r="W4" s="68" t="n">
        <v>567861941</v>
      </c>
      <c r="X4" s="67" t="inlineStr">
        <is>
          <t>NA</t>
        </is>
      </c>
      <c r="Y4" s="67" t="inlineStr">
        <is>
          <t>Chase Bank</t>
        </is>
      </c>
      <c r="Z4" s="67" t="inlineStr">
        <is>
          <t>CVV : 858 Exp : 10/30</t>
        </is>
      </c>
      <c r="AA4" s="72" t="n">
        <v>4150000000000000</v>
      </c>
      <c r="AB4" s="67" t="inlineStr">
        <is>
          <t>Diabieties</t>
        </is>
      </c>
      <c r="AC4" s="67" t="inlineStr">
        <is>
          <t>NA</t>
        </is>
      </c>
      <c r="AD4" s="67" t="inlineStr">
        <is>
          <t>Dr. Sobiya Khan, DO -</t>
        </is>
      </c>
      <c r="AE4" s="68" t="n">
        <v>76</v>
      </c>
      <c r="AF4" s="80">
        <f t="array" ref="AF4">IFERROR(_xlfn.LET(_xlpm.rate,INDEX(aflac!$B$2:$E$37,MATCH($AE4,aflac!$A$2:$A$37,0),IF(LOWER(TRIM($F4))="male",IF(LOWER(TRIM($K4))="yes",2,1),IF(LOWER(TRIM($K4))="yes",4,3))),_xlpm.coverage,VALUE(SUBSTITUTE(SUBSTITUTE($S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" s="80">
        <f t="array" ref="AG4">IFERROR(_xlfn.LET(_xlpm.rate,INDEX('aflac-modified'!$B$2:$C$32,MATCH($AE4,'aflac-modified'!$A$2:$A$32,0),IF(LOWER(TRIM($F4))="male",1,2)),_xlpm.coverage,VALUE(SUBSTITUTE(SUBSTITUTE($S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" s="80">
        <f t="array" ref="AH4">IFERROR(_xlfn.LET(_xlpm.rate,INDEX(SBLI!$B$2:$E$37,MATCH($AE4,SBLI!$A$2:$A$37,0),IF(LOWER(TRIM($F4))="male",IF(LOWER(TRIM($K4))="yes",2,1),IF(LOWER(TRIM($K4))="yes",4,3))),_xlpm.coverage,VALUE(SUBSTITUTE(SUBSTITUTE($S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" s="80">
        <f t="array" ref="AI4">IFERROR(_xlfn.LET(_xlpm.rate,INDEX('SBLI-Modified'!$B$2:$E$27,MATCH($AE4,'SBLI-Modified'!$A$2:$A$27,0),IF(LOWER(TRIM($F4))="male",IF(LOWER(TRIM($K4))="yes",2,1),IF(LOWER(TRIM($K4))="yes",4,3))),_xlpm.coverage,VALUE(SUBSTITUTE(SUBSTITUTE($S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" s="80">
        <f t="array" ref="AJ4">IFERROR(_xlfn.LET(_xlpm.rate,INDEX(CICA!$B$2:$C$42,MATCH($AE4,CICA!$A$2:$A$42,0),IF(LOWER(TRIM($F4))="male",1,2)),_xlpm.coverage,VALUE(SUBSTITUTE(SUBSTITUTE($S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" s="80">
        <f t="array" ref="AK4">IFERROR(_xlfn.LET(_xlpm.rate,INDEX('CICA-GI'!$B$2:$C$47,MATCH($AE4,'CICA-GI'!$A$2:$A$47,0),IF(LOWER(TRIM($F4))="male",1,2)),_xlpm.coverage,VALUE(SUBSTITUTE(SUBSTITUTE($S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" s="80">
        <f t="array" ref="AL4">IFERROR(_xlfn.LET(_xlpm.rate,INDEX(gtl!$B$2:$C$52,MATCH($AE4,gtl!$A$2:$A$52,0),IF(LOWER(TRIM($F4))="male",1,2)),_xlpm.coverage,VALUE(SUBSTITUTE(SUBSTITUTE($S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" s="80">
        <f t="array" ref="AM4">IFERROR(_xlfn.LET(_xlpm.rate,INDEX(TransAmerica!$B$2:$E$69,MATCH($AE4,TransAmerica!$A$2:$A$69,0),IF(LOWER(TRIM($F4))="male",IF(LOWER(TRIM($K4))="yes",2,1),IF(LOWER(TRIM($K4))="yes",4,3))),_xlpm.coverage,VALUE(SUBSTITUTE(SUBSTITUTE($S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" s="80">
        <f t="array" ref="AN4">IFERROR(_xlfn.LET(_xlpm.rate,INDEX('TransAmerica Graded'!$B$2:$E$64,MATCH($AE4,'TransAmerica Graded'!$A$2:$A$64,0),IF(LOWER(TRIM($F4))="male",IF(LOWER(TRIM($K4))="yes",2,1),IF(LOWER(TRIM($K4))="yes",4,3))),_xlpm.coverage,VALUE(SUBSTITUTE(SUBSTITUTE($S4,"$",""),",","")),_xlpm.base,_xlpm.rate*(_xlpm.coverage/1000),_xlpm.fee,_xlfn.XLOOKUP("TransAmerica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" s="80">
        <f t="array" ref="AO4">IFERROR(_xlfn.LET(_xlpm.rate,INDEX(Corebridge!$B$2:$C$32,MATCH($AE4,Corebridge!$A$2:$A$32,0),IF(LOWER(TRIM($F4))="male",1,2)),_xlpm.coverage,VALUE(SUBSTITUTE(SUBSTITUTE($S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" s="80">
        <f t="array" ref="AP4">IFERROR(_xlfn.LET(_xlpm.rate,INDEX(amam!$B$2:$E$37,MATCH($AE4,amam!$A$2:$A$37,0),IF(LOWER(TRIM($F4))="male",IF(LOWER(TRIM($K4))="yes",2,1),IF(LOWER(TRIM($K4))="yes",4,3))),_xlpm.coverage,VALUE(SUBSTITUTE(SUBSTITUTE($S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" s="80">
        <f t="array" ref="AQ4">IFERROR(_xlfn.LET(_xlpm.rate,INDEX('amam-graded'!$B$2:$E$37,MATCH($AE4,'amam-graded'!$A$2:$A$37,0),IF(LOWER(TRIM($F4))="male",IF(LOWER(TRIM($K4))="yes",2,1),IF(LOWER(TRIM($K4))="yes",4,3))),_xlpm.coverage,VALUE(SUBSTITUTE(SUBSTITUTE($S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" s="80">
        <f t="array" ref="AR4">IFERROR(_xlfn.LET(_xlpm.rate,INDEX('amam-return-or-premium'!$B$2:$E$37,MATCH($AE4,'amam-return-or-premium'!$A$2:$A$37,0),IF(LOWER(TRIM($F4))="male",IF(LOWER(TRIM($K4))="yes",2,1),IF(LOWER(TRIM($K4))="yes",4,3))),_xlpm.coverage,VALUE(SUBSTITUTE(SUBSTITUTE($S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" s="80">
        <f t="array" ref="AS4">IFERROR(_xlfn.LET(_xlpm.rate,INDEX(AHL!$B$2:$E$37,MATCH($AE4,AHL!$A$2:$A$37,0),IF(LOWER(TRIM($F4))="male",IF(LOWER(TRIM($K4))="yes",2,1),IF(LOWER(TRIM($K4))="yes",4,3))),_xlpm.coverage,VALUE(SUBSTITUTE(SUBSTITUTE($S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" s="80">
        <f t="array" ref="AT4">IFERROR(_xlfn.LET(_xlpm.rate,INDEX('AHL-Graded'!$B$2:$E$32,MATCH($AE4,'AHL-Graded'!$A$2:$A$32,0),IF(LOWER(TRIM($F4))="male",IF(LOWER(TRIM($K4))="yes",2,1),IF(LOWER(TRIM($K4))="yes",4,3))),_xlpm.coverage,VALUE(SUBSTITUTE(SUBSTITUTE($S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" s="80">
        <f t="array" ref="AU4">IFERROR(_xlfn.LET(_xlpm.rate,INDEX('Royal Neighbors'!$B$2:$E$37,MATCH($AE4,'Royal Neighbors'!$A$2:$A$37,0),IF(LOWER(TRIM($F4))="male",IF(LOWER(TRIM($K4))="yes",2,1),IF(LOWER(TRIM($K4))="yes",4,3))),_xlpm.coverage,VALUE(SUBSTITUTE(SUBSTITUTE($S4,"$",""),",","")),_xlpm.base,_xlpm.rate*(_xlpm.coverage/1000),_xlpm.fee,_xlfn.XLOOKUP("Royal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" s="80">
        <f t="array" ref="AV4">IFERROR(_xlfn.LET(_xlpm.rate,INDEX('Royal Neighbors-Graded'!$B$2:$E$37,MATCH($AE4,'Royal Neighbors-Graded'!$A$2:$A$37,0),IF(LOWER(TRIM($F4))="male",IF(LOWER(TRIM($K4))="yes",2,1),IF(LOWER(TRIM($K4))="yes",4,3))),_xlpm.coverage,VALUE(SUBSTITUTE(SUBSTITUTE($S4,"$",""),",","")),_xlpm.base,_xlpm.rate*(_xlpm.coverage/1000),_xlpm.fee,_xlfn.XLOOKUP("Royal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" s="80">
        <f t="array" ref="AW4">IFERROR(_xlfn.LET(_xlpm.rate,INDEX('Gerber-GI'!$B$2:$C$32,MATCH($AE4,'Gerber-GI'!$A$2:$A$32,0),IF(LOWER(TRIM($F4))="male",1,2)),_xlpm.coverage,VALUE(SUBSTITUTE(SUBSTITUTE($S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" s="80">
        <f t="array" ref="AX4">IFERROR(_xlfn.LET(_xlpm.rate,INDEX('Mutual of Omaha'!$B$2:$E$42,MATCH($AE4,'Mutual of Omaha'!$A$2:$A$42,0),IF(LOWER(TRIM($F4))="male",IF(LOWER(TRIM($K4))="yes",2,1),IF(LOWER(TRIM($K4))="yes",4,3))),_xlpm.coverage,VALUE(SUBSTITUTE(SUBSTITUTE($S4,"$",""),",","")),_xlpm.base,_xlpm.rate*(_xlpm.coverage/1000),_xlpm.fee,_xlfn.XLOOKUP("Mutal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" s="80">
        <f t="array" ref="AY4">IFERROR(_xlfn.LET(_xlpm.rate,INDEX('Mutual of Omaha-Graded'!$B$2:$E$37,MATCH($AE4,'Mutual of Omaha-Graded'!$A$2:$A$37,0),IF(LOWER(TRIM($F4))="male",IF(LOWER(TRIM($K4))="yes",2,1),IF(LOWER(TRIM($K4))="yes",4,3))),_xlpm.coverage,VALUE(SUBSTITUTE(SUBSTITUTE($S4,"$",""),",","")),_xlpm.base,_xlpm.rate*(_xlpm.coverage/1000),_xlpm.fee,_xlfn.XLOOKUP("Mutual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" s="80">
        <f>AP4</f>
        <v/>
      </c>
      <c r="BA4" s="80">
        <f>IFERROR(IF(AND(AP4&gt;0,AP4&lt;VALUE(SUBSTITUTE(SUBSTITUTE($T4,"$",""),",",""))),VALUE(SUBSTITUTE(SUBSTITUTE($T4,"$",""),",",""))-AP4,""),"")</f>
        <v/>
      </c>
      <c r="BB4" s="80">
        <f>AL4</f>
        <v/>
      </c>
      <c r="BC4" s="80">
        <f>IFERROR(IF(AND(AL4&gt;0,AL4&lt;VALUE(SUBSTITUTE(SUBSTITUTE($T4,"$",""),",",""))),VALUE(SUBSTITUTE(SUBSTITUTE($T4,"$",""),",",""))-AL4,""),"")</f>
        <v/>
      </c>
      <c r="BD4">
        <f t="array" ref="BD4">IFERROR(_xlfn.LET(_xlpm.current,VALUE(SUBSTITUTE(SUBSTITUTE($T4,"$",""),",","")),_xlpm.quotes,AF4:AY4,_xlpm.lowest,_xlfn.MINIFS(_xlpm.quotes,_xlpm.quotes,"&lt;"&amp;_xlpm.current,_xlpm.quotes,"&gt;0"),IF(_xlpm.lowest="","",SUBSTITUTE(INDEX($AF$1:$AY$1,1,MATCH(_xlpm.lowest,_xlpm.quotes,0))," Monthly Quote",""))),"")</f>
        <v/>
      </c>
      <c r="BE4" s="80">
        <f t="array" ref="BE4">IFERROR(_xlfn.LET(_xlpm.current,VALUE(SUBSTITUTE(SUBSTITUTE($T4,"$",""),",","")),_xlpm.quotes,AF4:AY4,_xlpm.lowest,_xlfn.MINIFS(_xlpm.quotes,_xlpm.quotes,"&lt;"&amp;_xlpm.current,_xlpm.quotes,"&gt;0"),IF(_xlpm.lowest="","",_xlpm.current-_xlpm.lowest)),"")</f>
        <v/>
      </c>
    </row>
    <row r="5">
      <c r="A5" s="67" t="inlineStr">
        <is>
          <t>Bessie</t>
        </is>
      </c>
      <c r="B5" s="67" t="inlineStr">
        <is>
          <t>Kincade</t>
        </is>
      </c>
      <c r="C5" s="68" t="n">
        <v>3149213664</v>
      </c>
      <c r="D5" s="68" t="n">
        <v>76</v>
      </c>
      <c r="E5" s="69" t="n">
        <v>18041</v>
      </c>
      <c r="F5" s="67" t="inlineStr">
        <is>
          <t>Female</t>
        </is>
      </c>
      <c r="G5" s="67" t="inlineStr">
        <is>
          <t>14813 Frais Dr Florissant, MO 63034,</t>
        </is>
      </c>
      <c r="H5" s="67" t="inlineStr">
        <is>
          <t>MS</t>
        </is>
      </c>
      <c r="I5" s="68" t="n">
        <v>5.4</v>
      </c>
      <c r="J5" s="68" t="n">
        <v>125</v>
      </c>
      <c r="K5" s="67" t="inlineStr">
        <is>
          <t>No</t>
        </is>
      </c>
      <c r="L5" s="67" t="inlineStr">
        <is>
          <t>NA</t>
        </is>
      </c>
      <c r="M5" s="67" t="inlineStr">
        <is>
          <t>Cremation</t>
        </is>
      </c>
      <c r="N5" s="67" t="inlineStr">
        <is>
          <t>Arthur Kincade third</t>
        </is>
      </c>
      <c r="O5" s="67" t="inlineStr">
        <is>
          <t>Son</t>
        </is>
      </c>
      <c r="P5" s="67" t="inlineStr">
        <is>
          <t>Tracey Jackson 06/15/1968</t>
        </is>
      </c>
      <c r="Q5" s="67" t="inlineStr">
        <is>
          <t>Daughter</t>
        </is>
      </c>
      <c r="R5" s="67" t="inlineStr">
        <is>
          <t>Senior Life</t>
        </is>
      </c>
      <c r="S5" s="70" t="n">
        <v>7000</v>
      </c>
      <c r="T5" s="68" t="n">
        <v>56.24</v>
      </c>
      <c r="U5" s="69" t="n">
        <v>45994</v>
      </c>
      <c r="V5" s="69" t="n">
        <v>46027</v>
      </c>
      <c r="W5" s="68" t="n">
        <v>486549843</v>
      </c>
      <c r="X5" s="67" t="inlineStr">
        <is>
          <t>NA</t>
        </is>
      </c>
      <c r="Y5" s="67" t="inlineStr">
        <is>
          <t>First Community Credit Union</t>
        </is>
      </c>
      <c r="Z5" s="68" t="n">
        <v>281081877</v>
      </c>
      <c r="AA5" s="68" t="n">
        <v>12528008</v>
      </c>
      <c r="AB5" s="67" t="inlineStr">
        <is>
          <t>NA</t>
        </is>
      </c>
      <c r="AC5" s="67" t="inlineStr">
        <is>
          <t>NA</t>
        </is>
      </c>
      <c r="AD5" s="67" t="inlineStr">
        <is>
          <t>Yolanda E Bledsoe, MD</t>
        </is>
      </c>
      <c r="AE5" s="68" t="n">
        <v>77</v>
      </c>
      <c r="AF5" s="80">
        <f t="array" ref="AF5">IFERROR(_xlfn.LET(_xlpm.rate,INDEX(aflac!$B$2:$E$37,MATCH($AE5,aflac!$A$2:$A$37,0),IF(LOWER(TRIM($F5))="male",IF(LOWER(TRIM($K5))="yes",2,1),IF(LOWER(TRIM($K5))="yes",4,3))),_xlpm.coverage,VALUE(SUBSTITUTE(SUBSTITUTE($S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" s="80">
        <f t="array" ref="AG5">IFERROR(_xlfn.LET(_xlpm.rate,INDEX('aflac-modified'!$B$2:$C$32,MATCH($AE5,'aflac-modified'!$A$2:$A$32,0),IF(LOWER(TRIM($F5))="male",1,2)),_xlpm.coverage,VALUE(SUBSTITUTE(SUBSTITUTE($S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" s="80">
        <f t="array" ref="AH5">IFERROR(_xlfn.LET(_xlpm.rate,INDEX(SBLI!$B$2:$E$37,MATCH($AE5,SBLI!$A$2:$A$37,0),IF(LOWER(TRIM($F5))="male",IF(LOWER(TRIM($K5))="yes",2,1),IF(LOWER(TRIM($K5))="yes",4,3))),_xlpm.coverage,VALUE(SUBSTITUTE(SUBSTITUTE($S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" s="80">
        <f t="array" ref="AI5">IFERROR(_xlfn.LET(_xlpm.rate,INDEX('SBLI-Modified'!$B$2:$E$27,MATCH($AE5,'SBLI-Modified'!$A$2:$A$27,0),IF(LOWER(TRIM($F5))="male",IF(LOWER(TRIM($K5))="yes",2,1),IF(LOWER(TRIM($K5))="yes",4,3))),_xlpm.coverage,VALUE(SUBSTITUTE(SUBSTITUTE($S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" s="80">
        <f t="array" ref="AJ5">IFERROR(_xlfn.LET(_xlpm.rate,INDEX(CICA!$B$2:$C$42,MATCH($AE5,CICA!$A$2:$A$42,0),IF(LOWER(TRIM($F5))="male",1,2)),_xlpm.coverage,VALUE(SUBSTITUTE(SUBSTITUTE($S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" s="80">
        <f t="array" ref="AK5">IFERROR(_xlfn.LET(_xlpm.rate,INDEX('CICA-GI'!$B$2:$C$47,MATCH($AE5,'CICA-GI'!$A$2:$A$47,0),IF(LOWER(TRIM($F5))="male",1,2)),_xlpm.coverage,VALUE(SUBSTITUTE(SUBSTITUTE($S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" s="80">
        <f t="array" ref="AL5">IFERROR(_xlfn.LET(_xlpm.rate,INDEX(gtl!$B$2:$C$52,MATCH($AE5,gtl!$A$2:$A$52,0),IF(LOWER(TRIM($F5))="male",1,2)),_xlpm.coverage,VALUE(SUBSTITUTE(SUBSTITUTE($S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" s="80">
        <f t="array" ref="AM5">IFERROR(_xlfn.LET(_xlpm.rate,INDEX(TransAmerica!$B$2:$E$69,MATCH($AE5,TransAmerica!$A$2:$A$69,0),IF(LOWER(TRIM($F5))="male",IF(LOWER(TRIM($K5))="yes",2,1),IF(LOWER(TRIM($K5))="yes",4,3))),_xlpm.coverage,VALUE(SUBSTITUTE(SUBSTITUTE($S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" s="80">
        <f t="array" ref="AN5">IFERROR(_xlfn.LET(_xlpm.rate,INDEX('TransAmerica Graded'!$B$2:$E$64,MATCH($AE5,'TransAmerica Graded'!$A$2:$A$64,0),IF(LOWER(TRIM($F5))="male",IF(LOWER(TRIM($K5))="yes",2,1),IF(LOWER(TRIM($K5))="yes",4,3))),_xlpm.coverage,VALUE(SUBSTITUTE(SUBSTITUTE($S5,"$",""),",","")),_xlpm.base,_xlpm.rate*(_xlpm.coverage/1000),_xlpm.fee,_xlfn.XLOOKUP("TransAmerica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" s="80">
        <f t="array" ref="AO5">IFERROR(_xlfn.LET(_xlpm.rate,INDEX(Corebridge!$B$2:$C$32,MATCH($AE5,Corebridge!$A$2:$A$32,0),IF(LOWER(TRIM($F5))="male",1,2)),_xlpm.coverage,VALUE(SUBSTITUTE(SUBSTITUTE($S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" s="80">
        <f t="array" ref="AP5">IFERROR(_xlfn.LET(_xlpm.rate,INDEX(amam!$B$2:$E$37,MATCH($AE5,amam!$A$2:$A$37,0),IF(LOWER(TRIM($F5))="male",IF(LOWER(TRIM($K5))="yes",2,1),IF(LOWER(TRIM($K5))="yes",4,3))),_xlpm.coverage,VALUE(SUBSTITUTE(SUBSTITUTE($S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" s="80">
        <f t="array" ref="AQ5">IFERROR(_xlfn.LET(_xlpm.rate,INDEX('amam-graded'!$B$2:$E$37,MATCH($AE5,'amam-graded'!$A$2:$A$37,0),IF(LOWER(TRIM($F5))="male",IF(LOWER(TRIM($K5))="yes",2,1),IF(LOWER(TRIM($K5))="yes",4,3))),_xlpm.coverage,VALUE(SUBSTITUTE(SUBSTITUTE($S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" s="80">
        <f t="array" ref="AR5">IFERROR(_xlfn.LET(_xlpm.rate,INDEX('amam-return-or-premium'!$B$2:$E$37,MATCH($AE5,'amam-return-or-premium'!$A$2:$A$37,0),IF(LOWER(TRIM($F5))="male",IF(LOWER(TRIM($K5))="yes",2,1),IF(LOWER(TRIM($K5))="yes",4,3))),_xlpm.coverage,VALUE(SUBSTITUTE(SUBSTITUTE($S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" s="80">
        <f t="array" ref="AS5">IFERROR(_xlfn.LET(_xlpm.rate,INDEX(AHL!$B$2:$E$37,MATCH($AE5,AHL!$A$2:$A$37,0),IF(LOWER(TRIM($F5))="male",IF(LOWER(TRIM($K5))="yes",2,1),IF(LOWER(TRIM($K5))="yes",4,3))),_xlpm.coverage,VALUE(SUBSTITUTE(SUBSTITUTE($S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" s="80">
        <f t="array" ref="AT5">IFERROR(_xlfn.LET(_xlpm.rate,INDEX('AHL-Graded'!$B$2:$E$32,MATCH($AE5,'AHL-Graded'!$A$2:$A$32,0),IF(LOWER(TRIM($F5))="male",IF(LOWER(TRIM($K5))="yes",2,1),IF(LOWER(TRIM($K5))="yes",4,3))),_xlpm.coverage,VALUE(SUBSTITUTE(SUBSTITUTE($S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" s="80">
        <f t="array" ref="AU5">IFERROR(_xlfn.LET(_xlpm.rate,INDEX('Royal Neighbors'!$B$2:$E$37,MATCH($AE5,'Royal Neighbors'!$A$2:$A$37,0),IF(LOWER(TRIM($F5))="male",IF(LOWER(TRIM($K5))="yes",2,1),IF(LOWER(TRIM($K5))="yes",4,3))),_xlpm.coverage,VALUE(SUBSTITUTE(SUBSTITUTE($S5,"$",""),",","")),_xlpm.base,_xlpm.rate*(_xlpm.coverage/1000),_xlpm.fee,_xlfn.XLOOKUP("Royal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" s="80">
        <f t="array" ref="AV5">IFERROR(_xlfn.LET(_xlpm.rate,INDEX('Royal Neighbors-Graded'!$B$2:$E$37,MATCH($AE5,'Royal Neighbors-Graded'!$A$2:$A$37,0),IF(LOWER(TRIM($F5))="male",IF(LOWER(TRIM($K5))="yes",2,1),IF(LOWER(TRIM($K5))="yes",4,3))),_xlpm.coverage,VALUE(SUBSTITUTE(SUBSTITUTE($S5,"$",""),",","")),_xlpm.base,_xlpm.rate*(_xlpm.coverage/1000),_xlpm.fee,_xlfn.XLOOKUP("Royal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" s="80">
        <f t="array" ref="AW5">IFERROR(_xlfn.LET(_xlpm.rate,INDEX('Gerber-GI'!$B$2:$C$32,MATCH($AE5,'Gerber-GI'!$A$2:$A$32,0),IF(LOWER(TRIM($F5))="male",1,2)),_xlpm.coverage,VALUE(SUBSTITUTE(SUBSTITUTE($S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" s="80">
        <f t="array" ref="AX5">IFERROR(_xlfn.LET(_xlpm.rate,INDEX('Mutual of Omaha'!$B$2:$E$42,MATCH($AE5,'Mutual of Omaha'!$A$2:$A$42,0),IF(LOWER(TRIM($F5))="male",IF(LOWER(TRIM($K5))="yes",2,1),IF(LOWER(TRIM($K5))="yes",4,3))),_xlpm.coverage,VALUE(SUBSTITUTE(SUBSTITUTE($S5,"$",""),",","")),_xlpm.base,_xlpm.rate*(_xlpm.coverage/1000),_xlpm.fee,_xlfn.XLOOKUP("Mutal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" s="80">
        <f t="array" ref="AY5">IFERROR(_xlfn.LET(_xlpm.rate,INDEX('Mutual of Omaha-Graded'!$B$2:$E$37,MATCH($AE5,'Mutual of Omaha-Graded'!$A$2:$A$37,0),IF(LOWER(TRIM($F5))="male",IF(LOWER(TRIM($K5))="yes",2,1),IF(LOWER(TRIM($K5))="yes",4,3))),_xlpm.coverage,VALUE(SUBSTITUTE(SUBSTITUTE($S5,"$",""),",","")),_xlpm.base,_xlpm.rate*(_xlpm.coverage/1000),_xlpm.fee,_xlfn.XLOOKUP("Mutual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" s="80">
        <f>AP5</f>
        <v/>
      </c>
      <c r="BA5" s="80">
        <f>IFERROR(IF(AND(AP5&gt;0,AP5&lt;VALUE(SUBSTITUTE(SUBSTITUTE($T5,"$",""),",",""))),VALUE(SUBSTITUTE(SUBSTITUTE($T5,"$",""),",",""))-AP5,""),"")</f>
        <v/>
      </c>
      <c r="BB5" s="80">
        <f>AL5</f>
        <v/>
      </c>
      <c r="BC5" s="80">
        <f>IFERROR(IF(AND(AL5&gt;0,AL5&lt;VALUE(SUBSTITUTE(SUBSTITUTE($T5,"$",""),",",""))),VALUE(SUBSTITUTE(SUBSTITUTE($T5,"$",""),",",""))-AL5,""),"")</f>
        <v/>
      </c>
      <c r="BD5">
        <f t="array" ref="BD5">IFERROR(_xlfn.LET(_xlpm.current,VALUE(SUBSTITUTE(SUBSTITUTE($T5,"$",""),",","")),_xlpm.quotes,AF5:AY5,_xlpm.lowest,_xlfn.MINIFS(_xlpm.quotes,_xlpm.quotes,"&lt;"&amp;_xlpm.current,_xlpm.quotes,"&gt;0"),IF(_xlpm.lowest="","",SUBSTITUTE(INDEX($AF$1:$AY$1,1,MATCH(_xlpm.lowest,_xlpm.quotes,0))," Monthly Quote",""))),"")</f>
        <v/>
      </c>
      <c r="BE5" s="80">
        <f t="array" ref="BE5">IFERROR(_xlfn.LET(_xlpm.current,VALUE(SUBSTITUTE(SUBSTITUTE($T5,"$",""),",","")),_xlpm.quotes,AF5:AY5,_xlpm.lowest,_xlfn.MINIFS(_xlpm.quotes,_xlpm.quotes,"&lt;"&amp;_xlpm.current,_xlpm.quotes,"&gt;0"),IF(_xlpm.lowest="","",_xlpm.current-_xlpm.lowest)),"")</f>
        <v/>
      </c>
    </row>
    <row r="6">
      <c r="A6" s="67" t="inlineStr">
        <is>
          <t>Nancy</t>
        </is>
      </c>
      <c r="B6" s="67" t="inlineStr">
        <is>
          <t>Franzwa</t>
        </is>
      </c>
      <c r="C6" s="68" t="inlineStr">
        <is>
          <t>8159620911</t>
        </is>
      </c>
      <c r="D6" s="68" t="n">
        <v>84</v>
      </c>
      <c r="E6" s="69" t="inlineStr">
        <is>
          <t>1941-11-16</t>
        </is>
      </c>
      <c r="F6" s="67" t="inlineStr">
        <is>
          <t>Female</t>
        </is>
      </c>
      <c r="G6" s="67" t="inlineStr"/>
      <c r="H6" s="67" t="inlineStr"/>
      <c r="I6" s="68" t="inlineStr"/>
      <c r="J6" s="68" t="inlineStr"/>
      <c r="K6" s="67" t="inlineStr">
        <is>
          <t>No</t>
        </is>
      </c>
      <c r="L6" s="67" t="inlineStr"/>
      <c r="M6" s="67" t="inlineStr"/>
      <c r="N6" s="67" t="inlineStr"/>
      <c r="O6" s="67" t="inlineStr"/>
      <c r="P6" s="67" t="n"/>
      <c r="Q6" s="67" t="n"/>
      <c r="R6" s="67" t="inlineStr">
        <is>
          <t>Transamerica</t>
        </is>
      </c>
      <c r="S6" s="70" t="n">
        <v>2500</v>
      </c>
      <c r="T6" s="71" t="n">
        <v>48.64</v>
      </c>
      <c r="U6" s="69" t="inlineStr">
        <is>
          <t>2025-11-20</t>
        </is>
      </c>
      <c r="V6" s="69" t="inlineStr"/>
      <c r="W6" s="68" t="inlineStr"/>
      <c r="X6" s="67" t="inlineStr"/>
      <c r="Y6" s="67" t="inlineStr"/>
      <c r="Z6" s="68" t="inlineStr"/>
      <c r="AA6" s="68" t="inlineStr"/>
      <c r="AB6" s="67" t="inlineStr"/>
      <c r="AC6" s="67" t="inlineStr"/>
      <c r="AD6" s="67" t="inlineStr"/>
      <c r="AE6" s="68" t="n">
        <v>84</v>
      </c>
      <c r="AF6" s="80">
        <f t="array" ref="AF6">IFERROR(_xlfn.LET(_xlpm.rate,INDEX(aflac!$B$2:$E$37,MATCH($AE6,aflac!$A$2:$A$37,0),IF(LOWER(TRIM($F6))="male",IF(LOWER(TRIM($K6))="yes",2,1),IF(LOWER(TRIM($K6))="yes",4,3))),_xlpm.coverage,VALUE(SUBSTITUTE(SUBSTITUTE($S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" s="80">
        <f t="array" ref="AG6">IFERROR(_xlfn.LET(_xlpm.rate,INDEX('aflac-modified'!$B$2:$C$32,MATCH($AE6,'aflac-modified'!$A$2:$A$32,0),IF(LOWER(TRIM($F6))="male",1,2)),_xlpm.coverage,VALUE(SUBSTITUTE(SUBSTITUTE($S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" s="80" t="n">
        <v>53.14</v>
      </c>
      <c r="AI6" s="80">
        <f t="array" ref="AI6">IFERROR(_xlfn.LET(_xlpm.rate,INDEX('SBLI-Modified'!$B$2:$E$27,MATCH($AE6,'SBLI-Modified'!$A$2:$A$27,0),IF(LOWER(TRIM($F6))="male",IF(LOWER(TRIM($K6))="yes",2,1),IF(LOWER(TRIM($K6))="yes",4,3))),_xlpm.coverage,VALUE(SUBSTITUTE(SUBSTITUTE($S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" s="80" t="n">
        <v>48.04</v>
      </c>
      <c r="AK6" s="80" t="n">
        <v>48.04</v>
      </c>
      <c r="AL6" s="80" t="n">
        <v>56.08</v>
      </c>
      <c r="AM6" s="80" t="n">
        <v>51.18</v>
      </c>
      <c r="AN6" s="80" t="n">
        <v>51.18</v>
      </c>
      <c r="AO6" s="80">
        <f t="array" ref="AO6">IFERROR(_xlfn.LET(_xlpm.rate,INDEX(Corebridge!$B$2:$C$32,MATCH($AE6,Corebridge!$A$2:$A$32,0),IF(LOWER(TRIM($F6))="male",1,2)),_xlpm.coverage,VALUE(SUBSTITUTE(SUBSTITUTE($S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" s="80" t="n">
        <v>40.26</v>
      </c>
      <c r="AQ6" s="80" t="n">
        <v>40.26</v>
      </c>
      <c r="AR6" s="80" t="n">
        <v>40.26</v>
      </c>
      <c r="AS6" s="80" t="n">
        <v>50.77</v>
      </c>
      <c r="AT6" s="80" t="n">
        <v>50.77</v>
      </c>
      <c r="AU6" s="80" t="n">
        <v>37.23</v>
      </c>
      <c r="AV6" s="80" t="n">
        <v>37.23</v>
      </c>
      <c r="AW6" s="80">
        <f t="array" ref="AW6">IFERROR(_xlfn.LET(_xlpm.rate,INDEX('Gerber-GI'!$B$2:$C$32,MATCH($AE6,'Gerber-GI'!$A$2:$A$32,0),IF(LOWER(TRIM($F6))="male",1,2)),_xlpm.coverage,VALUE(SUBSTITUTE(SUBSTITUTE($S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" s="80" t="n">
        <v>34.54</v>
      </c>
      <c r="AY6" s="80" t="n">
        <v>34.54</v>
      </c>
      <c r="AZ6" s="80" t="n">
        <v>40.26</v>
      </c>
      <c r="BA6" s="80" t="n">
        <v>8.380000000000001</v>
      </c>
      <c r="BB6" s="80" t="n">
        <v>56.08</v>
      </c>
      <c r="BC6" s="80">
        <f>IFERROR(IF(AND(AL6&gt;0,AL6&lt;VALUE(SUBSTITUTE(SUBSTITUTE($T6,"$",""),",",""))),VALUE(SUBSTITUTE(SUBSTITUTE($T6,"$",""),",",""))-AL6,""),"")</f>
        <v/>
      </c>
      <c r="BD6" t="inlineStr">
        <is>
          <t>Mutual of Omaha</t>
        </is>
      </c>
      <c r="BE6" s="80" t="n">
        <v>14.1</v>
      </c>
    </row>
    <row r="7">
      <c r="A7" s="67" t="inlineStr">
        <is>
          <t>Alda D</t>
        </is>
      </c>
      <c r="B7" s="67" t="inlineStr">
        <is>
          <t>Johnson</t>
        </is>
      </c>
      <c r="C7" s="68" t="n">
        <v>9108935515</v>
      </c>
      <c r="D7" s="68" t="n">
        <v>81</v>
      </c>
      <c r="E7" s="69" t="n">
        <v>16016</v>
      </c>
      <c r="F7" s="67" t="inlineStr">
        <is>
          <t>Female</t>
        </is>
      </c>
      <c r="G7" s="67" t="inlineStr">
        <is>
          <t>140 Kershaw Rd Lillington, NC 27546</t>
        </is>
      </c>
      <c r="H7" s="67" t="inlineStr">
        <is>
          <t>NC</t>
        </is>
      </c>
      <c r="I7" s="68" t="n">
        <v>5.2</v>
      </c>
      <c r="J7" s="68" t="n">
        <v>170</v>
      </c>
      <c r="K7" s="67" t="inlineStr">
        <is>
          <t>No</t>
        </is>
      </c>
      <c r="L7" s="67" t="n"/>
      <c r="M7" s="67" t="inlineStr">
        <is>
          <t>Burial</t>
        </is>
      </c>
      <c r="N7" s="67" t="inlineStr">
        <is>
          <t>Praci Farmer</t>
        </is>
      </c>
      <c r="O7" s="67" t="inlineStr">
        <is>
          <t>Daughter</t>
        </is>
      </c>
      <c r="P7" s="67" t="n"/>
      <c r="Q7" s="67" t="n"/>
      <c r="R7" s="67" t="inlineStr">
        <is>
          <t>Senior Life</t>
        </is>
      </c>
      <c r="S7" s="70" t="n">
        <v>10000</v>
      </c>
      <c r="T7" s="68" t="n">
        <v>108.57</v>
      </c>
      <c r="U7" s="69" t="n">
        <v>45987</v>
      </c>
      <c r="V7" s="69" t="n">
        <v>46015</v>
      </c>
      <c r="W7" s="68" t="n">
        <v>244746233</v>
      </c>
      <c r="X7" s="67" t="inlineStr">
        <is>
          <t>N/A</t>
        </is>
      </c>
      <c r="Y7" s="67" t="inlineStr">
        <is>
          <t>State Employees Credit Union</t>
        </is>
      </c>
      <c r="Z7" s="68" t="n">
        <v>253177049</v>
      </c>
      <c r="AA7" s="68" t="n">
        <v>29073721</v>
      </c>
      <c r="AB7" s="67" t="inlineStr">
        <is>
          <t>Diabetes</t>
        </is>
      </c>
      <c r="AC7" s="67" t="inlineStr">
        <is>
          <t>Metformin gemtesa Atorvastatin Glipizide Losartan</t>
        </is>
      </c>
      <c r="AD7" s="67" t="inlineStr">
        <is>
          <t>N/A</t>
        </is>
      </c>
      <c r="AE7" s="68" t="n">
        <v>82</v>
      </c>
      <c r="AF7" s="80">
        <f t="array" ref="AF7">IFERROR(_xlfn.LET(_xlpm.rate,INDEX(aflac!$B$2:$E$37,MATCH($AE7,aflac!$A$2:$A$37,0),IF(LOWER(TRIM($F7))="male",IF(LOWER(TRIM($K7))="yes",2,1),IF(LOWER(TRIM($K7))="yes",4,3))),_xlpm.coverage,VALUE(SUBSTITUTE(SUBSTITUTE($S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" s="80">
        <f t="array" ref="AG7">IFERROR(_xlfn.LET(_xlpm.rate,INDEX('aflac-modified'!$B$2:$C$32,MATCH($AE7,'aflac-modified'!$A$2:$A$32,0),IF(LOWER(TRIM($F7))="male",1,2)),_xlpm.coverage,VALUE(SUBSTITUTE(SUBSTITUTE($S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" s="80">
        <f t="array" ref="AH7">IFERROR(_xlfn.LET(_xlpm.rate,INDEX(SBLI!$B$2:$E$37,MATCH($AE7,SBLI!$A$2:$A$37,0),IF(LOWER(TRIM($F7))="male",IF(LOWER(TRIM($K7))="yes",2,1),IF(LOWER(TRIM($K7))="yes",4,3))),_xlpm.coverage,VALUE(SUBSTITUTE(SUBSTITUTE($S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" s="80">
        <f t="array" ref="AI7">IFERROR(_xlfn.LET(_xlpm.rate,INDEX('SBLI-Modified'!$B$2:$E$27,MATCH($AE7,'SBLI-Modified'!$A$2:$A$27,0),IF(LOWER(TRIM($F7))="male",IF(LOWER(TRIM($K7))="yes",2,1),IF(LOWER(TRIM($K7))="yes",4,3))),_xlpm.coverage,VALUE(SUBSTITUTE(SUBSTITUTE($S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" s="80">
        <f t="array" ref="AJ7">IFERROR(_xlfn.LET(_xlpm.rate,INDEX(CICA!$B$2:$C$42,MATCH($AE7,CICA!$A$2:$A$42,0),IF(LOWER(TRIM($F7))="male",1,2)),_xlpm.coverage,VALUE(SUBSTITUTE(SUBSTITUTE($S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" s="80">
        <f t="array" ref="AK7">IFERROR(_xlfn.LET(_xlpm.rate,INDEX('CICA-GI'!$B$2:$C$47,MATCH($AE7,'CICA-GI'!$A$2:$A$47,0),IF(LOWER(TRIM($F7))="male",1,2)),_xlpm.coverage,VALUE(SUBSTITUTE(SUBSTITUTE($S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" s="80">
        <f t="array" ref="AL7">IFERROR(_xlfn.LET(_xlpm.rate,INDEX(gtl!$B$2:$C$52,MATCH($AE7,gtl!$A$2:$A$52,0),IF(LOWER(TRIM($F7))="male",1,2)),_xlpm.coverage,VALUE(SUBSTITUTE(SUBSTITUTE($S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" s="80">
        <f t="array" ref="AM7">IFERROR(_xlfn.LET(_xlpm.rate,INDEX(TransAmerica!$B$2:$E$69,MATCH($AE7,TransAmerica!$A$2:$A$69,0),IF(LOWER(TRIM($F7))="male",IF(LOWER(TRIM($K7))="yes",2,1),IF(LOWER(TRIM($K7))="yes",4,3))),_xlpm.coverage,VALUE(SUBSTITUTE(SUBSTITUTE($S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" s="80">
        <f t="array" ref="AN7">IFERROR(_xlfn.LET(_xlpm.rate,INDEX('TransAmerica Graded'!$B$2:$E$64,MATCH($AE7,'TransAmerica Graded'!$A$2:$A$64,0),IF(LOWER(TRIM($F7))="male",IF(LOWER(TRIM($K7))="yes",2,1),IF(LOWER(TRIM($K7))="yes",4,3))),_xlpm.coverage,VALUE(SUBSTITUTE(SUBSTITUTE($S7,"$",""),",","")),_xlpm.base,_xlpm.rate*(_xlpm.coverage/1000),_xlpm.fee,_xlfn.XLOOKUP("TransAmerica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" s="80">
        <f t="array" ref="AO7">IFERROR(_xlfn.LET(_xlpm.rate,INDEX(Corebridge!$B$2:$C$32,MATCH($AE7,Corebridge!$A$2:$A$32,0),IF(LOWER(TRIM($F7))="male",1,2)),_xlpm.coverage,VALUE(SUBSTITUTE(SUBSTITUTE($S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" s="80">
        <f t="array" ref="AP7">IFERROR(_xlfn.LET(_xlpm.rate,INDEX(amam!$B$2:$E$37,MATCH($AE7,amam!$A$2:$A$37,0),IF(LOWER(TRIM($F7))="male",IF(LOWER(TRIM($K7))="yes",2,1),IF(LOWER(TRIM($K7))="yes",4,3))),_xlpm.coverage,VALUE(SUBSTITUTE(SUBSTITUTE($S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" s="80">
        <f t="array" ref="AQ7">IFERROR(_xlfn.LET(_xlpm.rate,INDEX('amam-graded'!$B$2:$E$37,MATCH($AE7,'amam-graded'!$A$2:$A$37,0),IF(LOWER(TRIM($F7))="male",IF(LOWER(TRIM($K7))="yes",2,1),IF(LOWER(TRIM($K7))="yes",4,3))),_xlpm.coverage,VALUE(SUBSTITUTE(SUBSTITUTE($S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" s="80">
        <f t="array" ref="AR7">IFERROR(_xlfn.LET(_xlpm.rate,INDEX('amam-return-or-premium'!$B$2:$E$37,MATCH($AE7,'amam-return-or-premium'!$A$2:$A$37,0),IF(LOWER(TRIM($F7))="male",IF(LOWER(TRIM($K7))="yes",2,1),IF(LOWER(TRIM($K7))="yes",4,3))),_xlpm.coverage,VALUE(SUBSTITUTE(SUBSTITUTE($S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" s="80">
        <f t="array" ref="AS7">IFERROR(_xlfn.LET(_xlpm.rate,INDEX(AHL!$B$2:$E$37,MATCH($AE7,AHL!$A$2:$A$37,0),IF(LOWER(TRIM($F7))="male",IF(LOWER(TRIM($K7))="yes",2,1),IF(LOWER(TRIM($K7))="yes",4,3))),_xlpm.coverage,VALUE(SUBSTITUTE(SUBSTITUTE($S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" s="80">
        <f t="array" ref="AT7">IFERROR(_xlfn.LET(_xlpm.rate,INDEX('AHL-Graded'!$B$2:$E$32,MATCH($AE7,'AHL-Graded'!$A$2:$A$32,0),IF(LOWER(TRIM($F7))="male",IF(LOWER(TRIM($K7))="yes",2,1),IF(LOWER(TRIM($K7))="yes",4,3))),_xlpm.coverage,VALUE(SUBSTITUTE(SUBSTITUTE($S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" s="80">
        <f t="array" ref="AU7">IFERROR(_xlfn.LET(_xlpm.rate,INDEX('Royal Neighbors'!$B$2:$E$37,MATCH($AE7,'Royal Neighbors'!$A$2:$A$37,0),IF(LOWER(TRIM($F7))="male",IF(LOWER(TRIM($K7))="yes",2,1),IF(LOWER(TRIM($K7))="yes",4,3))),_xlpm.coverage,VALUE(SUBSTITUTE(SUBSTITUTE($S7,"$",""),",","")),_xlpm.base,_xlpm.rate*(_xlpm.coverage/1000),_xlpm.fee,_xlfn.XLOOKUP("Royal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" s="80">
        <f t="array" ref="AV7">IFERROR(_xlfn.LET(_xlpm.rate,INDEX('Royal Neighbors-Graded'!$B$2:$E$37,MATCH($AE7,'Royal Neighbors-Graded'!$A$2:$A$37,0),IF(LOWER(TRIM($F7))="male",IF(LOWER(TRIM($K7))="yes",2,1),IF(LOWER(TRIM($K7))="yes",4,3))),_xlpm.coverage,VALUE(SUBSTITUTE(SUBSTITUTE($S7,"$",""),",","")),_xlpm.base,_xlpm.rate*(_xlpm.coverage/1000),_xlpm.fee,_xlfn.XLOOKUP("Royal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" s="80">
        <f t="array" ref="AW7">IFERROR(_xlfn.LET(_xlpm.rate,INDEX('Gerber-GI'!$B$2:$C$32,MATCH($AE7,'Gerber-GI'!$A$2:$A$32,0),IF(LOWER(TRIM($F7))="male",1,2)),_xlpm.coverage,VALUE(SUBSTITUTE(SUBSTITUTE($S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" s="80">
        <f t="array" ref="AX7">IFERROR(_xlfn.LET(_xlpm.rate,INDEX('Mutual of Omaha'!$B$2:$E$42,MATCH($AE7,'Mutual of Omaha'!$A$2:$A$42,0),IF(LOWER(TRIM($F7))="male",IF(LOWER(TRIM($K7))="yes",2,1),IF(LOWER(TRIM($K7))="yes",4,3))),_xlpm.coverage,VALUE(SUBSTITUTE(SUBSTITUTE($S7,"$",""),",","")),_xlpm.base,_xlpm.rate*(_xlpm.coverage/1000),_xlpm.fee,_xlfn.XLOOKUP("Mutal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" s="80">
        <f t="array" ref="AY7">IFERROR(_xlfn.LET(_xlpm.rate,INDEX('Mutual of Omaha-Graded'!$B$2:$E$37,MATCH($AE7,'Mutual of Omaha-Graded'!$A$2:$A$37,0),IF(LOWER(TRIM($F7))="male",IF(LOWER(TRIM($K7))="yes",2,1),IF(LOWER(TRIM($K7))="yes",4,3))),_xlpm.coverage,VALUE(SUBSTITUTE(SUBSTITUTE($S7,"$",""),",","")),_xlpm.base,_xlpm.rate*(_xlpm.coverage/1000),_xlpm.fee,_xlfn.XLOOKUP("Mutual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" s="80">
        <f>AP7</f>
        <v/>
      </c>
      <c r="BA7" s="80">
        <f>IFERROR(IF(AND(AP7&gt;0,AP7&lt;VALUE(SUBSTITUTE(SUBSTITUTE($T7,"$",""),",",""))),VALUE(SUBSTITUTE(SUBSTITUTE($T7,"$",""),",",""))-AP7,""),"")</f>
        <v/>
      </c>
      <c r="BB7" s="80">
        <f>AL7</f>
        <v/>
      </c>
      <c r="BC7" s="80">
        <f>IFERROR(IF(AND(AL7&gt;0,AL7&lt;VALUE(SUBSTITUTE(SUBSTITUTE($T7,"$",""),",",""))),VALUE(SUBSTITUTE(SUBSTITUTE($T7,"$",""),",",""))-AL7,""),"")</f>
        <v/>
      </c>
      <c r="BD7">
        <f t="array" ref="BD7">IFERROR(_xlfn.LET(_xlpm.current,VALUE(SUBSTITUTE(SUBSTITUTE($T7,"$",""),",","")),_xlpm.quotes,AF7:AY7,_xlpm.lowest,_xlfn.MINIFS(_xlpm.quotes,_xlpm.quotes,"&lt;"&amp;_xlpm.current,_xlpm.quotes,"&gt;0"),IF(_xlpm.lowest="","",SUBSTITUTE(INDEX($AF$1:$AY$1,1,MATCH(_xlpm.lowest,_xlpm.quotes,0))," Monthly Quote",""))),"")</f>
        <v/>
      </c>
      <c r="BE7" s="80">
        <f t="array" ref="BE7">IFERROR(_xlfn.LET(_xlpm.current,VALUE(SUBSTITUTE(SUBSTITUTE($T7,"$",""),",","")),_xlpm.quotes,AF7:AY7,_xlpm.lowest,_xlfn.MINIFS(_xlpm.quotes,_xlpm.quotes,"&lt;"&amp;_xlpm.current,_xlpm.quotes,"&gt;0"),IF(_xlpm.lowest="","",_xlpm.current-_xlpm.lowest)),"")</f>
        <v/>
      </c>
    </row>
    <row r="8">
      <c r="A8" s="67" t="inlineStr">
        <is>
          <t>Darrell L</t>
        </is>
      </c>
      <c r="B8" s="67" t="inlineStr">
        <is>
          <t>Smith</t>
        </is>
      </c>
      <c r="C8" s="68" t="n">
        <v>8643780056</v>
      </c>
      <c r="D8" s="68" t="n">
        <v>68</v>
      </c>
      <c r="E8" s="69" t="n">
        <v>20827</v>
      </c>
      <c r="F8" s="67" t="inlineStr">
        <is>
          <t>Male</t>
        </is>
      </c>
      <c r="G8" s="67" t="inlineStr">
        <is>
          <t>6272 Highway 184 E Donalds SC 29638</t>
        </is>
      </c>
      <c r="H8" s="67" t="inlineStr">
        <is>
          <t>SC</t>
        </is>
      </c>
      <c r="I8" s="68" t="n">
        <v>6.1</v>
      </c>
      <c r="J8" s="68" t="n">
        <v>165</v>
      </c>
      <c r="K8" s="67" t="inlineStr">
        <is>
          <t>yes</t>
        </is>
      </c>
      <c r="L8" s="67" t="n"/>
      <c r="M8" s="67" t="inlineStr">
        <is>
          <t>Cremation</t>
        </is>
      </c>
      <c r="N8" s="67" t="inlineStr">
        <is>
          <t>William Blackwell (28)</t>
        </is>
      </c>
      <c r="O8" s="67" t="inlineStr">
        <is>
          <t>Step Son</t>
        </is>
      </c>
      <c r="P8" s="67" t="inlineStr">
        <is>
          <t>Paula Hinton (35) Kelly Darraugh (41)</t>
        </is>
      </c>
      <c r="Q8" s="67" t="inlineStr">
        <is>
          <t>Step Daughter</t>
        </is>
      </c>
      <c r="R8" s="67" t="inlineStr">
        <is>
          <t>securico</t>
        </is>
      </c>
      <c r="S8" s="70" t="n">
        <v>5000</v>
      </c>
      <c r="T8" s="71" t="n">
        <v>57.65</v>
      </c>
      <c r="U8" s="69" t="n">
        <v>45981</v>
      </c>
      <c r="V8" s="69" t="n">
        <v>46011</v>
      </c>
      <c r="W8" s="68" t="n">
        <v>250135063</v>
      </c>
      <c r="X8" s="67" t="inlineStr">
        <is>
          <t>no</t>
        </is>
      </c>
      <c r="Y8" s="67" t="inlineStr">
        <is>
          <t>Upstate Federal Credit Union</t>
        </is>
      </c>
      <c r="Z8" s="68" t="n">
        <v>253278197</v>
      </c>
      <c r="AA8" s="72" t="n">
        <v>419000000000</v>
      </c>
      <c r="AB8" s="67" t="inlineStr">
        <is>
          <t>no</t>
        </is>
      </c>
      <c r="AC8" s="67" t="inlineStr">
        <is>
          <t>1 pill</t>
        </is>
      </c>
      <c r="AD8" s="67" t="inlineStr">
        <is>
          <t>Dr. Keith A. Scott</t>
        </is>
      </c>
      <c r="AE8" s="68" t="n">
        <v>69</v>
      </c>
      <c r="AF8" s="80">
        <f t="array" ref="AF8">IFERROR(_xlfn.LET(_xlpm.rate,INDEX(aflac!$B$2:$E$37,MATCH($AE8,aflac!$A$2:$A$37,0),IF(LOWER(TRIM($F8))="male",IF(LOWER(TRIM($K8))="yes",2,1),IF(LOWER(TRIM($K8))="yes",4,3))),_xlpm.coverage,VALUE(SUBSTITUTE(SUBSTITUTE($S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" s="80">
        <f t="array" ref="AG8">IFERROR(_xlfn.LET(_xlpm.rate,INDEX('aflac-modified'!$B$2:$C$32,MATCH($AE8,'aflac-modified'!$A$2:$A$32,0),IF(LOWER(TRIM($F8))="male",1,2)),_xlpm.coverage,VALUE(SUBSTITUTE(SUBSTITUTE($S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" s="80">
        <f t="array" ref="AH8">IFERROR(_xlfn.LET(_xlpm.rate,INDEX(SBLI!$B$2:$E$37,MATCH($AE8,SBLI!$A$2:$A$37,0),IF(LOWER(TRIM($F8))="male",IF(LOWER(TRIM($K8))="yes",2,1),IF(LOWER(TRIM($K8))="yes",4,3))),_xlpm.coverage,VALUE(SUBSTITUTE(SUBSTITUTE($S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" s="80">
        <f t="array" ref="AI8">IFERROR(_xlfn.LET(_xlpm.rate,INDEX('SBLI-Modified'!$B$2:$E$27,MATCH($AE8,'SBLI-Modified'!$A$2:$A$27,0),IF(LOWER(TRIM($F8))="male",IF(LOWER(TRIM($K8))="yes",2,1),IF(LOWER(TRIM($K8))="yes",4,3))),_xlpm.coverage,VALUE(SUBSTITUTE(SUBSTITUTE($S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" s="80">
        <f t="array" ref="AJ8">IFERROR(_xlfn.LET(_xlpm.rate,INDEX(CICA!$B$2:$C$42,MATCH($AE8,CICA!$A$2:$A$42,0),IF(LOWER(TRIM($F8))="male",1,2)),_xlpm.coverage,VALUE(SUBSTITUTE(SUBSTITUTE($S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" s="80">
        <f t="array" ref="AK8">IFERROR(_xlfn.LET(_xlpm.rate,INDEX('CICA-GI'!$B$2:$C$47,MATCH($AE8,'CICA-GI'!$A$2:$A$47,0),IF(LOWER(TRIM($F8))="male",1,2)),_xlpm.coverage,VALUE(SUBSTITUTE(SUBSTITUTE($S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" s="80">
        <f t="array" ref="AL8">IFERROR(_xlfn.LET(_xlpm.rate,INDEX(gtl!$B$2:$C$52,MATCH($AE8,gtl!$A$2:$A$52,0),IF(LOWER(TRIM($F8))="male",1,2)),_xlpm.coverage,VALUE(SUBSTITUTE(SUBSTITUTE($S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" s="80">
        <f t="array" ref="AM8">IFERROR(_xlfn.LET(_xlpm.rate,INDEX(TransAmerica!$B$2:$E$69,MATCH($AE8,TransAmerica!$A$2:$A$69,0),IF(LOWER(TRIM($F8))="male",IF(LOWER(TRIM($K8))="yes",2,1),IF(LOWER(TRIM($K8))="yes",4,3))),_xlpm.coverage,VALUE(SUBSTITUTE(SUBSTITUTE($S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" s="80">
        <f t="array" ref="AN8">IFERROR(_xlfn.LET(_xlpm.rate,INDEX('TransAmerica Graded'!$B$2:$E$64,MATCH($AE8,'TransAmerica Graded'!$A$2:$A$64,0),IF(LOWER(TRIM($F8))="male",IF(LOWER(TRIM($K8))="yes",2,1),IF(LOWER(TRIM($K8))="yes",4,3))),_xlpm.coverage,VALUE(SUBSTITUTE(SUBSTITUTE($S8,"$",""),",","")),_xlpm.base,_xlpm.rate*(_xlpm.coverage/1000),_xlpm.fee,_xlfn.XLOOKUP("TransAmerica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" s="80">
        <f t="array" ref="AO8">IFERROR(_xlfn.LET(_xlpm.rate,INDEX(Corebridge!$B$2:$C$32,MATCH($AE8,Corebridge!$A$2:$A$32,0),IF(LOWER(TRIM($F8))="male",1,2)),_xlpm.coverage,VALUE(SUBSTITUTE(SUBSTITUTE($S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" s="80">
        <f t="array" ref="AP8">IFERROR(_xlfn.LET(_xlpm.rate,INDEX(amam!$B$2:$E$37,MATCH($AE8,amam!$A$2:$A$37,0),IF(LOWER(TRIM($F8))="male",IF(LOWER(TRIM($K8))="yes",2,1),IF(LOWER(TRIM($K8))="yes",4,3))),_xlpm.coverage,VALUE(SUBSTITUTE(SUBSTITUTE($S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" s="80">
        <f t="array" ref="AQ8">IFERROR(_xlfn.LET(_xlpm.rate,INDEX('amam-graded'!$B$2:$E$37,MATCH($AE8,'amam-graded'!$A$2:$A$37,0),IF(LOWER(TRIM($F8))="male",IF(LOWER(TRIM($K8))="yes",2,1),IF(LOWER(TRIM($K8))="yes",4,3))),_xlpm.coverage,VALUE(SUBSTITUTE(SUBSTITUTE($S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" s="80">
        <f t="array" ref="AR8">IFERROR(_xlfn.LET(_xlpm.rate,INDEX('amam-return-or-premium'!$B$2:$E$37,MATCH($AE8,'amam-return-or-premium'!$A$2:$A$37,0),IF(LOWER(TRIM($F8))="male",IF(LOWER(TRIM($K8))="yes",2,1),IF(LOWER(TRIM($K8))="yes",4,3))),_xlpm.coverage,VALUE(SUBSTITUTE(SUBSTITUTE($S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" s="80">
        <f t="array" ref="AS8">IFERROR(_xlfn.LET(_xlpm.rate,INDEX(AHL!$B$2:$E$37,MATCH($AE8,AHL!$A$2:$A$37,0),IF(LOWER(TRIM($F8))="male",IF(LOWER(TRIM($K8))="yes",2,1),IF(LOWER(TRIM($K8))="yes",4,3))),_xlpm.coverage,VALUE(SUBSTITUTE(SUBSTITUTE($S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" s="80">
        <f t="array" ref="AT8">IFERROR(_xlfn.LET(_xlpm.rate,INDEX('AHL-Graded'!$B$2:$E$32,MATCH($AE8,'AHL-Graded'!$A$2:$A$32,0),IF(LOWER(TRIM($F8))="male",IF(LOWER(TRIM($K8))="yes",2,1),IF(LOWER(TRIM($K8))="yes",4,3))),_xlpm.coverage,VALUE(SUBSTITUTE(SUBSTITUTE($S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" s="80">
        <f t="array" ref="AU8">IFERROR(_xlfn.LET(_xlpm.rate,INDEX('Royal Neighbors'!$B$2:$E$37,MATCH($AE8,'Royal Neighbors'!$A$2:$A$37,0),IF(LOWER(TRIM($F8))="male",IF(LOWER(TRIM($K8))="yes",2,1),IF(LOWER(TRIM($K8))="yes",4,3))),_xlpm.coverage,VALUE(SUBSTITUTE(SUBSTITUTE($S8,"$",""),",","")),_xlpm.base,_xlpm.rate*(_xlpm.coverage/1000),_xlpm.fee,_xlfn.XLOOKUP("Royal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" s="80">
        <f t="array" ref="AV8">IFERROR(_xlfn.LET(_xlpm.rate,INDEX('Royal Neighbors-Graded'!$B$2:$E$37,MATCH($AE8,'Royal Neighbors-Graded'!$A$2:$A$37,0),IF(LOWER(TRIM($F8))="male",IF(LOWER(TRIM($K8))="yes",2,1),IF(LOWER(TRIM($K8))="yes",4,3))),_xlpm.coverage,VALUE(SUBSTITUTE(SUBSTITUTE($S8,"$",""),",","")),_xlpm.base,_xlpm.rate*(_xlpm.coverage/1000),_xlpm.fee,_xlfn.XLOOKUP("Royal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" s="80">
        <f t="array" ref="AW8">IFERROR(_xlfn.LET(_xlpm.rate,INDEX('Gerber-GI'!$B$2:$C$32,MATCH($AE8,'Gerber-GI'!$A$2:$A$32,0),IF(LOWER(TRIM($F8))="male",1,2)),_xlpm.coverage,VALUE(SUBSTITUTE(SUBSTITUTE($S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" s="80">
        <f t="array" ref="AX8">IFERROR(_xlfn.LET(_xlpm.rate,INDEX('Mutual of Omaha'!$B$2:$E$42,MATCH($AE8,'Mutual of Omaha'!$A$2:$A$42,0),IF(LOWER(TRIM($F8))="male",IF(LOWER(TRIM($K8))="yes",2,1),IF(LOWER(TRIM($K8))="yes",4,3))),_xlpm.coverage,VALUE(SUBSTITUTE(SUBSTITUTE($S8,"$",""),",","")),_xlpm.base,_xlpm.rate*(_xlpm.coverage/1000),_xlpm.fee,_xlfn.XLOOKUP("Mutal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" s="80">
        <f t="array" ref="AY8">IFERROR(_xlfn.LET(_xlpm.rate,INDEX('Mutual of Omaha-Graded'!$B$2:$E$37,MATCH($AE8,'Mutual of Omaha-Graded'!$A$2:$A$37,0),IF(LOWER(TRIM($F8))="male",IF(LOWER(TRIM($K8))="yes",2,1),IF(LOWER(TRIM($K8))="yes",4,3))),_xlpm.coverage,VALUE(SUBSTITUTE(SUBSTITUTE($S8,"$",""),",","")),_xlpm.base,_xlpm.rate*(_xlpm.coverage/1000),_xlpm.fee,_xlfn.XLOOKUP("Mutual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" s="80">
        <f>AP8</f>
        <v/>
      </c>
      <c r="BA8" s="80">
        <f>IFERROR(IF(AND(AP8&gt;0,AP8&lt;VALUE(SUBSTITUTE(SUBSTITUTE($T8,"$",""),",",""))),VALUE(SUBSTITUTE(SUBSTITUTE($T8,"$",""),",",""))-AP8,""),"")</f>
        <v/>
      </c>
      <c r="BB8" s="80">
        <f>AL8</f>
        <v/>
      </c>
      <c r="BC8" s="80">
        <f>IFERROR(IF(AND(AL8&gt;0,AL8&lt;VALUE(SUBSTITUTE(SUBSTITUTE($T8,"$",""),",",""))),VALUE(SUBSTITUTE(SUBSTITUTE($T8,"$",""),",",""))-AL8,""),"")</f>
        <v/>
      </c>
      <c r="BD8">
        <f t="array" ref="BD8">IFERROR(_xlfn.LET(_xlpm.current,VALUE(SUBSTITUTE(SUBSTITUTE($T8,"$",""),",","")),_xlpm.quotes,AF8:AY8,_xlpm.lowest,_xlfn.MINIFS(_xlpm.quotes,_xlpm.quotes,"&lt;"&amp;_xlpm.current,_xlpm.quotes,"&gt;0"),IF(_xlpm.lowest="","",SUBSTITUTE(INDEX($AF$1:$AY$1,1,MATCH(_xlpm.lowest,_xlpm.quotes,0))," Monthly Quote",""))),"")</f>
        <v/>
      </c>
      <c r="BE8" s="80">
        <f t="array" ref="BE8">IFERROR(_xlfn.LET(_xlpm.current,VALUE(SUBSTITUTE(SUBSTITUTE($T8,"$",""),",","")),_xlpm.quotes,AF8:AY8,_xlpm.lowest,_xlfn.MINIFS(_xlpm.quotes,_xlpm.quotes,"&lt;"&amp;_xlpm.current,_xlpm.quotes,"&gt;0"),IF(_xlpm.lowest="","",_xlpm.current-_xlpm.lowest)),"")</f>
        <v/>
      </c>
    </row>
    <row r="9">
      <c r="A9" s="67" t="inlineStr">
        <is>
          <t>Fara</t>
        </is>
      </c>
      <c r="B9" s="67" t="inlineStr">
        <is>
          <t>Manzella</t>
        </is>
      </c>
      <c r="C9" s="68" t="n">
        <v>8472585629</v>
      </c>
      <c r="D9" s="68" t="n">
        <v>75</v>
      </c>
      <c r="E9" s="69" t="n">
        <v>18379</v>
      </c>
      <c r="F9" s="67" t="inlineStr">
        <is>
          <t>Female</t>
        </is>
      </c>
      <c r="G9" s="67" t="inlineStr">
        <is>
          <t>408 S Meier Rd , Mount Prospect 60056 IL</t>
        </is>
      </c>
      <c r="H9" s="67" t="inlineStr">
        <is>
          <t>Italy</t>
        </is>
      </c>
      <c r="I9" s="73" t="n">
        <v>46123</v>
      </c>
      <c r="J9" s="68" t="n">
        <v>160</v>
      </c>
      <c r="K9" s="67" t="inlineStr">
        <is>
          <t>No</t>
        </is>
      </c>
      <c r="L9" s="67" t="n"/>
      <c r="M9" s="67" t="inlineStr">
        <is>
          <t>Cremation</t>
        </is>
      </c>
      <c r="N9" s="67" t="inlineStr">
        <is>
          <t>Micheal Manzella</t>
        </is>
      </c>
      <c r="O9" s="67" t="inlineStr">
        <is>
          <t>spouse</t>
        </is>
      </c>
      <c r="P9" s="67" t="n"/>
      <c r="Q9" s="67" t="n"/>
      <c r="R9" s="67" t="inlineStr">
        <is>
          <t>Securico</t>
        </is>
      </c>
      <c r="S9" s="70" t="n">
        <v>5000</v>
      </c>
      <c r="T9" s="71" t="n">
        <v>45.76</v>
      </c>
      <c r="U9" s="69" t="n">
        <v>46006</v>
      </c>
      <c r="V9" s="69" t="n">
        <v>46037</v>
      </c>
      <c r="W9" s="67" t="inlineStr">
        <is>
          <t>331 48 3189</t>
        </is>
      </c>
      <c r="X9" s="67" t="inlineStr">
        <is>
          <t>no</t>
        </is>
      </c>
      <c r="Y9" s="67" t="inlineStr">
        <is>
          <t>bank of America</t>
        </is>
      </c>
      <c r="Z9" s="68" t="n">
        <v>71000505</v>
      </c>
      <c r="AA9" s="72" t="n">
        <v>291000000000</v>
      </c>
      <c r="AB9" s="67" t="inlineStr">
        <is>
          <t>Depression</t>
        </is>
      </c>
      <c r="AC9" s="67" t="inlineStr">
        <is>
          <t>Sertraline</t>
        </is>
      </c>
      <c r="AD9" s="67" t="inlineStr">
        <is>
          <t>no</t>
        </is>
      </c>
      <c r="AE9" s="68" t="n">
        <v>76</v>
      </c>
      <c r="AF9" s="80">
        <f t="array" ref="AF9">IFERROR(_xlfn.LET(_xlpm.rate,INDEX(aflac!$B$2:$E$37,MATCH($AE9,aflac!$A$2:$A$37,0),IF(LOWER(TRIM($F9))="male",IF(LOWER(TRIM($K9))="yes",2,1),IF(LOWER(TRIM($K9))="yes",4,3))),_xlpm.coverage,VALUE(SUBSTITUTE(SUBSTITUTE($S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9" s="80">
        <f t="array" ref="AG9">IFERROR(_xlfn.LET(_xlpm.rate,INDEX('aflac-modified'!$B$2:$C$32,MATCH($AE9,'aflac-modified'!$A$2:$A$32,0),IF(LOWER(TRIM($F9))="male",1,2)),_xlpm.coverage,VALUE(SUBSTITUTE(SUBSTITUTE($S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9" s="80">
        <f t="array" ref="AH9">IFERROR(_xlfn.LET(_xlpm.rate,INDEX(SBLI!$B$2:$E$37,MATCH($AE9,SBLI!$A$2:$A$37,0),IF(LOWER(TRIM($F9))="male",IF(LOWER(TRIM($K9))="yes",2,1),IF(LOWER(TRIM($K9))="yes",4,3))),_xlpm.coverage,VALUE(SUBSTITUTE(SUBSTITUTE($S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9" s="80">
        <f t="array" ref="AI9">IFERROR(_xlfn.LET(_xlpm.rate,INDEX('SBLI-Modified'!$B$2:$E$27,MATCH($AE9,'SBLI-Modified'!$A$2:$A$27,0),IF(LOWER(TRIM($F9))="male",IF(LOWER(TRIM($K9))="yes",2,1),IF(LOWER(TRIM($K9))="yes",4,3))),_xlpm.coverage,VALUE(SUBSTITUTE(SUBSTITUTE($S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9" s="80">
        <f t="array" ref="AJ9">IFERROR(_xlfn.LET(_xlpm.rate,INDEX(CICA!$B$2:$C$42,MATCH($AE9,CICA!$A$2:$A$42,0),IF(LOWER(TRIM($F9))="male",1,2)),_xlpm.coverage,VALUE(SUBSTITUTE(SUBSTITUTE($S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9" s="80">
        <f t="array" ref="AK9">IFERROR(_xlfn.LET(_xlpm.rate,INDEX('CICA-GI'!$B$2:$C$47,MATCH($AE9,'CICA-GI'!$A$2:$A$47,0),IF(LOWER(TRIM($F9))="male",1,2)),_xlpm.coverage,VALUE(SUBSTITUTE(SUBSTITUTE($S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9" s="80">
        <f t="array" ref="AL9">IFERROR(_xlfn.LET(_xlpm.rate,INDEX(gtl!$B$2:$C$52,MATCH($AE9,gtl!$A$2:$A$52,0),IF(LOWER(TRIM($F9))="male",1,2)),_xlpm.coverage,VALUE(SUBSTITUTE(SUBSTITUTE($S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9" s="80">
        <f t="array" ref="AM9">IFERROR(_xlfn.LET(_xlpm.rate,INDEX(TransAmerica!$B$2:$E$69,MATCH($AE9,TransAmerica!$A$2:$A$69,0),IF(LOWER(TRIM($F9))="male",IF(LOWER(TRIM($K9))="yes",2,1),IF(LOWER(TRIM($K9))="yes",4,3))),_xlpm.coverage,VALUE(SUBSTITUTE(SUBSTITUTE($S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9" s="80">
        <f t="array" ref="AN9">IFERROR(_xlfn.LET(_xlpm.rate,INDEX('TransAmerica Graded'!$B$2:$E$64,MATCH($AE9,'TransAmerica Graded'!$A$2:$A$64,0),IF(LOWER(TRIM($F9))="male",IF(LOWER(TRIM($K9))="yes",2,1),IF(LOWER(TRIM($K9))="yes",4,3))),_xlpm.coverage,VALUE(SUBSTITUTE(SUBSTITUTE($S9,"$",""),",","")),_xlpm.base,_xlpm.rate*(_xlpm.coverage/1000),_xlpm.fee,_xlfn.XLOOKUP("TransAmerica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9" s="80">
        <f t="array" ref="AO9">IFERROR(_xlfn.LET(_xlpm.rate,INDEX(Corebridge!$B$2:$C$32,MATCH($AE9,Corebridge!$A$2:$A$32,0),IF(LOWER(TRIM($F9))="male",1,2)),_xlpm.coverage,VALUE(SUBSTITUTE(SUBSTITUTE($S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9" s="80">
        <f t="array" ref="AP9">IFERROR(_xlfn.LET(_xlpm.rate,INDEX(amam!$B$2:$E$37,MATCH($AE9,amam!$A$2:$A$37,0),IF(LOWER(TRIM($F9))="male",IF(LOWER(TRIM($K9))="yes",2,1),IF(LOWER(TRIM($K9))="yes",4,3))),_xlpm.coverage,VALUE(SUBSTITUTE(SUBSTITUTE($S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9" s="80">
        <f t="array" ref="AQ9">IFERROR(_xlfn.LET(_xlpm.rate,INDEX('amam-graded'!$B$2:$E$37,MATCH($AE9,'amam-graded'!$A$2:$A$37,0),IF(LOWER(TRIM($F9))="male",IF(LOWER(TRIM($K9))="yes",2,1),IF(LOWER(TRIM($K9))="yes",4,3))),_xlpm.coverage,VALUE(SUBSTITUTE(SUBSTITUTE($S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9" s="80">
        <f t="array" ref="AR9">IFERROR(_xlfn.LET(_xlpm.rate,INDEX('amam-return-or-premium'!$B$2:$E$37,MATCH($AE9,'amam-return-or-premium'!$A$2:$A$37,0),IF(LOWER(TRIM($F9))="male",IF(LOWER(TRIM($K9))="yes",2,1),IF(LOWER(TRIM($K9))="yes",4,3))),_xlpm.coverage,VALUE(SUBSTITUTE(SUBSTITUTE($S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9" s="80">
        <f t="array" ref="AS9">IFERROR(_xlfn.LET(_xlpm.rate,INDEX(AHL!$B$2:$E$37,MATCH($AE9,AHL!$A$2:$A$37,0),IF(LOWER(TRIM($F9))="male",IF(LOWER(TRIM($K9))="yes",2,1),IF(LOWER(TRIM($K9))="yes",4,3))),_xlpm.coverage,VALUE(SUBSTITUTE(SUBSTITUTE($S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9" s="80">
        <f t="array" ref="AT9">IFERROR(_xlfn.LET(_xlpm.rate,INDEX('AHL-Graded'!$B$2:$E$32,MATCH($AE9,'AHL-Graded'!$A$2:$A$32,0),IF(LOWER(TRIM($F9))="male",IF(LOWER(TRIM($K9))="yes",2,1),IF(LOWER(TRIM($K9))="yes",4,3))),_xlpm.coverage,VALUE(SUBSTITUTE(SUBSTITUTE($S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9" s="80">
        <f t="array" ref="AU9">IFERROR(_xlfn.LET(_xlpm.rate,INDEX('Royal Neighbors'!$B$2:$E$37,MATCH($AE9,'Royal Neighbors'!$A$2:$A$37,0),IF(LOWER(TRIM($F9))="male",IF(LOWER(TRIM($K9))="yes",2,1),IF(LOWER(TRIM($K9))="yes",4,3))),_xlpm.coverage,VALUE(SUBSTITUTE(SUBSTITUTE($S9,"$",""),",","")),_xlpm.base,_xlpm.rate*(_xlpm.coverage/1000),_xlpm.fee,_xlfn.XLOOKUP("Royal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9" s="80">
        <f t="array" ref="AV9">IFERROR(_xlfn.LET(_xlpm.rate,INDEX('Royal Neighbors-Graded'!$B$2:$E$37,MATCH($AE9,'Royal Neighbors-Graded'!$A$2:$A$37,0),IF(LOWER(TRIM($F9))="male",IF(LOWER(TRIM($K9))="yes",2,1),IF(LOWER(TRIM($K9))="yes",4,3))),_xlpm.coverage,VALUE(SUBSTITUTE(SUBSTITUTE($S9,"$",""),",","")),_xlpm.base,_xlpm.rate*(_xlpm.coverage/1000),_xlpm.fee,_xlfn.XLOOKUP("Royal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9" s="80">
        <f t="array" ref="AW9">IFERROR(_xlfn.LET(_xlpm.rate,INDEX('Gerber-GI'!$B$2:$C$32,MATCH($AE9,'Gerber-GI'!$A$2:$A$32,0),IF(LOWER(TRIM($F9))="male",1,2)),_xlpm.coverage,VALUE(SUBSTITUTE(SUBSTITUTE($S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9" s="80">
        <f t="array" ref="AX9">IFERROR(_xlfn.LET(_xlpm.rate,INDEX('Mutual of Omaha'!$B$2:$E$42,MATCH($AE9,'Mutual of Omaha'!$A$2:$A$42,0),IF(LOWER(TRIM($F9))="male",IF(LOWER(TRIM($K9))="yes",2,1),IF(LOWER(TRIM($K9))="yes",4,3))),_xlpm.coverage,VALUE(SUBSTITUTE(SUBSTITUTE($S9,"$",""),",","")),_xlpm.base,_xlpm.rate*(_xlpm.coverage/1000),_xlpm.fee,_xlfn.XLOOKUP("Mutal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9" s="80">
        <f t="array" ref="AY9">IFERROR(_xlfn.LET(_xlpm.rate,INDEX('Mutual of Omaha-Graded'!$B$2:$E$37,MATCH($AE9,'Mutual of Omaha-Graded'!$A$2:$A$37,0),IF(LOWER(TRIM($F9))="male",IF(LOWER(TRIM($K9))="yes",2,1),IF(LOWER(TRIM($K9))="yes",4,3))),_xlpm.coverage,VALUE(SUBSTITUTE(SUBSTITUTE($S9,"$",""),",","")),_xlpm.base,_xlpm.rate*(_xlpm.coverage/1000),_xlpm.fee,_xlfn.XLOOKUP("Mutual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9" s="80">
        <f>AP9</f>
        <v/>
      </c>
      <c r="BA9" s="80">
        <f>IFERROR(IF(AND(AP9&gt;0,AP9&lt;VALUE(SUBSTITUTE(SUBSTITUTE($T9,"$",""),",",""))),VALUE(SUBSTITUTE(SUBSTITUTE($T9,"$",""),",",""))-AP9,""),"")</f>
        <v/>
      </c>
      <c r="BB9" s="80">
        <f>AL9</f>
        <v/>
      </c>
      <c r="BC9" s="80">
        <f>IFERROR(IF(AND(AL9&gt;0,AL9&lt;VALUE(SUBSTITUTE(SUBSTITUTE($T9,"$",""),",",""))),VALUE(SUBSTITUTE(SUBSTITUTE($T9,"$",""),",",""))-AL9,""),"")</f>
        <v/>
      </c>
      <c r="BD9">
        <f t="array" ref="BD9">IFERROR(_xlfn.LET(_xlpm.current,VALUE(SUBSTITUTE(SUBSTITUTE($T9,"$",""),",","")),_xlpm.quotes,AF9:AY9,_xlpm.lowest,_xlfn.MINIFS(_xlpm.quotes,_xlpm.quotes,"&lt;"&amp;_xlpm.current,_xlpm.quotes,"&gt;0"),IF(_xlpm.lowest="","",SUBSTITUTE(INDEX($AF$1:$AY$1,1,MATCH(_xlpm.lowest,_xlpm.quotes,0))," Monthly Quote",""))),"")</f>
        <v/>
      </c>
      <c r="BE9" s="80">
        <f t="array" ref="BE9">IFERROR(_xlfn.LET(_xlpm.current,VALUE(SUBSTITUTE(SUBSTITUTE($T9,"$",""),",","")),_xlpm.quotes,AF9:AY9,_xlpm.lowest,_xlfn.MINIFS(_xlpm.quotes,_xlpm.quotes,"&lt;"&amp;_xlpm.current,_xlpm.quotes,"&gt;0"),IF(_xlpm.lowest="","",_xlpm.current-_xlpm.lowest)),"")</f>
        <v/>
      </c>
    </row>
    <row r="10">
      <c r="A10" s="67" t="inlineStr">
        <is>
          <t>Michael Yu</t>
        </is>
      </c>
      <c r="B10" s="67" t="inlineStr">
        <is>
          <t>Miao</t>
        </is>
      </c>
      <c r="C10" s="68" t="n">
        <v>9518161849</v>
      </c>
      <c r="D10" s="68" t="n">
        <v>60</v>
      </c>
      <c r="E10" s="69" t="n">
        <v>24032</v>
      </c>
      <c r="F10" s="67" t="inlineStr">
        <is>
          <t>Male</t>
        </is>
      </c>
      <c r="G10" s="67" t="inlineStr">
        <is>
          <t>39118 Triple Springs Ln Temecula, CA 92592</t>
        </is>
      </c>
      <c r="H10" s="67" t="inlineStr">
        <is>
          <t>China</t>
        </is>
      </c>
      <c r="I10" s="68" t="n">
        <v>5.9</v>
      </c>
      <c r="J10" s="68" t="n">
        <v>175</v>
      </c>
      <c r="K10" s="67" t="inlineStr">
        <is>
          <t>No</t>
        </is>
      </c>
      <c r="L10" s="67" t="inlineStr">
        <is>
          <t>NA</t>
        </is>
      </c>
      <c r="M10" s="67" t="inlineStr">
        <is>
          <t>Burial</t>
        </is>
      </c>
      <c r="N10" s="67" t="inlineStr">
        <is>
          <t>Elena Miao</t>
        </is>
      </c>
      <c r="O10" s="67" t="inlineStr">
        <is>
          <t>Daughter</t>
        </is>
      </c>
      <c r="P10" s="67" t="inlineStr">
        <is>
          <t>Vanessa</t>
        </is>
      </c>
      <c r="Q10" s="67" t="inlineStr">
        <is>
          <t>Girl Friend</t>
        </is>
      </c>
      <c r="R10" s="67" t="inlineStr">
        <is>
          <t>Securico</t>
        </is>
      </c>
      <c r="S10" s="70" t="n">
        <v>10</v>
      </c>
      <c r="T10" s="68" t="n">
        <v>48.42</v>
      </c>
      <c r="U10" s="69" t="n">
        <v>45992</v>
      </c>
      <c r="V10" s="69" t="n">
        <v>46023</v>
      </c>
      <c r="W10" s="68" t="n">
        <v>622332992</v>
      </c>
      <c r="X10" s="67" t="inlineStr">
        <is>
          <t>NA</t>
        </is>
      </c>
      <c r="Y10" s="67" t="inlineStr">
        <is>
          <t>Bank Of America</t>
        </is>
      </c>
      <c r="Z10" s="68" t="n">
        <v>121000358</v>
      </c>
      <c r="AA10" s="72" t="n">
        <v>325000000000</v>
      </c>
      <c r="AB10" s="67" t="inlineStr">
        <is>
          <t>High Blood Pressure</t>
        </is>
      </c>
      <c r="AC10" s="67" t="inlineStr">
        <is>
          <t>Losartan</t>
        </is>
      </c>
      <c r="AD10" s="67" t="inlineStr">
        <is>
          <t>Dr. Ellie Tan</t>
        </is>
      </c>
      <c r="AE10" s="68" t="n">
        <v>60</v>
      </c>
      <c r="AF10" s="80">
        <f t="array" ref="AF10">IFERROR(_xlfn.LET(_xlpm.rate,INDEX(aflac!$B$2:$E$37,MATCH($AE10,aflac!$A$2:$A$37,0),IF(LOWER(TRIM($F10))="male",IF(LOWER(TRIM($K10))="yes",2,1),IF(LOWER(TRIM($K10))="yes",4,3))),_xlpm.coverage,VALUE(SUBSTITUTE(SUBSTITUTE($S10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0" s="80">
        <f t="array" ref="AG10">IFERROR(_xlfn.LET(_xlpm.rate,INDEX('aflac-modified'!$B$2:$C$32,MATCH($AE10,'aflac-modified'!$A$2:$A$32,0),IF(LOWER(TRIM($F10))="male",1,2)),_xlpm.coverage,VALUE(SUBSTITUTE(SUBSTITUTE($S10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0" s="80">
        <f t="array" ref="AH10">IFERROR(_xlfn.LET(_xlpm.rate,INDEX(SBLI!$B$2:$E$37,MATCH($AE10,SBLI!$A$2:$A$37,0),IF(LOWER(TRIM($F10))="male",IF(LOWER(TRIM($K10))="yes",2,1),IF(LOWER(TRIM($K10))="yes",4,3))),_xlpm.coverage,VALUE(SUBSTITUTE(SUBSTITUTE($S10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0" s="80">
        <f t="array" ref="AI10">IFERROR(_xlfn.LET(_xlpm.rate,INDEX('SBLI-Modified'!$B$2:$E$27,MATCH($AE10,'SBLI-Modified'!$A$2:$A$27,0),IF(LOWER(TRIM($F10))="male",IF(LOWER(TRIM($K10))="yes",2,1),IF(LOWER(TRIM($K10))="yes",4,3))),_xlpm.coverage,VALUE(SUBSTITUTE(SUBSTITUTE($S10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0" s="80">
        <f t="array" ref="AJ10">IFERROR(_xlfn.LET(_xlpm.rate,INDEX(CICA!$B$2:$C$42,MATCH($AE10,CICA!$A$2:$A$42,0),IF(LOWER(TRIM($F10))="male",1,2)),_xlpm.coverage,VALUE(SUBSTITUTE(SUBSTITUTE($S10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0" s="80">
        <f t="array" ref="AK10">IFERROR(_xlfn.LET(_xlpm.rate,INDEX('CICA-GI'!$B$2:$C$47,MATCH($AE10,'CICA-GI'!$A$2:$A$47,0),IF(LOWER(TRIM($F10))="male",1,2)),_xlpm.coverage,VALUE(SUBSTITUTE(SUBSTITUTE($S10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0" s="80">
        <f t="array" ref="AL10">IFERROR(_xlfn.LET(_xlpm.rate,INDEX(gtl!$B$2:$C$52,MATCH($AE10,gtl!$A$2:$A$52,0),IF(LOWER(TRIM($F10))="male",1,2)),_xlpm.coverage,VALUE(SUBSTITUTE(SUBSTITUTE($S10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0" s="80">
        <f t="array" ref="AM10">IFERROR(_xlfn.LET(_xlpm.rate,INDEX(TransAmerica!$B$2:$E$69,MATCH($AE10,TransAmerica!$A$2:$A$69,0),IF(LOWER(TRIM($F10))="male",IF(LOWER(TRIM($K10))="yes",2,1),IF(LOWER(TRIM($K10))="yes",4,3))),_xlpm.coverage,VALUE(SUBSTITUTE(SUBSTITUTE($S10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0" s="80">
        <f t="array" ref="AN10">IFERROR(_xlfn.LET(_xlpm.rate,INDEX('TransAmerica Graded'!$B$2:$E$64,MATCH($AE10,'TransAmerica Graded'!$A$2:$A$64,0),IF(LOWER(TRIM($F10))="male",IF(LOWER(TRIM($K10))="yes",2,1),IF(LOWER(TRIM($K10))="yes",4,3))),_xlpm.coverage,VALUE(SUBSTITUTE(SUBSTITUTE($S10,"$",""),",","")),_xlpm.base,_xlpm.rate*(_xlpm.coverage/1000),_xlpm.fee,_xlfn.XLOOKUP("TransAmerica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0" s="80">
        <f t="array" ref="AO10">IFERROR(_xlfn.LET(_xlpm.rate,INDEX(Corebridge!$B$2:$C$32,MATCH($AE10,Corebridge!$A$2:$A$32,0),IF(LOWER(TRIM($F10))="male",1,2)),_xlpm.coverage,VALUE(SUBSTITUTE(SUBSTITUTE($S10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0" s="80">
        <f t="array" ref="AP10">IFERROR(_xlfn.LET(_xlpm.rate,INDEX(amam!$B$2:$E$37,MATCH($AE10,amam!$A$2:$A$37,0),IF(LOWER(TRIM($F10))="male",IF(LOWER(TRIM($K10))="yes",2,1),IF(LOWER(TRIM($K10))="yes",4,3))),_xlpm.coverage,VALUE(SUBSTITUTE(SUBSTITUTE($S10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0" s="80">
        <f t="array" ref="AQ10">IFERROR(_xlfn.LET(_xlpm.rate,INDEX('amam-graded'!$B$2:$E$37,MATCH($AE10,'amam-graded'!$A$2:$A$37,0),IF(LOWER(TRIM($F10))="male",IF(LOWER(TRIM($K10))="yes",2,1),IF(LOWER(TRIM($K10))="yes",4,3))),_xlpm.coverage,VALUE(SUBSTITUTE(SUBSTITUTE($S10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0" s="80">
        <f t="array" ref="AR10">IFERROR(_xlfn.LET(_xlpm.rate,INDEX('amam-return-or-premium'!$B$2:$E$37,MATCH($AE10,'amam-return-or-premium'!$A$2:$A$37,0),IF(LOWER(TRIM($F10))="male",IF(LOWER(TRIM($K10))="yes",2,1),IF(LOWER(TRIM($K10))="yes",4,3))),_xlpm.coverage,VALUE(SUBSTITUTE(SUBSTITUTE($S10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0" s="80">
        <f t="array" ref="AS10">IFERROR(_xlfn.LET(_xlpm.rate,INDEX(AHL!$B$2:$E$37,MATCH($AE10,AHL!$A$2:$A$37,0),IF(LOWER(TRIM($F10))="male",IF(LOWER(TRIM($K10))="yes",2,1),IF(LOWER(TRIM($K10))="yes",4,3))),_xlpm.coverage,VALUE(SUBSTITUTE(SUBSTITUTE($S10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0" s="80">
        <f t="array" ref="AT10">IFERROR(_xlfn.LET(_xlpm.rate,INDEX('AHL-Graded'!$B$2:$E$32,MATCH($AE10,'AHL-Graded'!$A$2:$A$32,0),IF(LOWER(TRIM($F10))="male",IF(LOWER(TRIM($K10))="yes",2,1),IF(LOWER(TRIM($K10))="yes",4,3))),_xlpm.coverage,VALUE(SUBSTITUTE(SUBSTITUTE($S10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0" s="80">
        <f t="array" ref="AU10">IFERROR(_xlfn.LET(_xlpm.rate,INDEX('Royal Neighbors'!$B$2:$E$37,MATCH($AE10,'Royal Neighbors'!$A$2:$A$37,0),IF(LOWER(TRIM($F10))="male",IF(LOWER(TRIM($K10))="yes",2,1),IF(LOWER(TRIM($K10))="yes",4,3))),_xlpm.coverage,VALUE(SUBSTITUTE(SUBSTITUTE($S10,"$",""),",","")),_xlpm.base,_xlpm.rate*(_xlpm.coverage/1000),_xlpm.fee,_xlfn.XLOOKUP("Royal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0" s="80">
        <f t="array" ref="AV10">IFERROR(_xlfn.LET(_xlpm.rate,INDEX('Royal Neighbors-Graded'!$B$2:$E$37,MATCH($AE10,'Royal Neighbors-Graded'!$A$2:$A$37,0),IF(LOWER(TRIM($F10))="male",IF(LOWER(TRIM($K10))="yes",2,1),IF(LOWER(TRIM($K10))="yes",4,3))),_xlpm.coverage,VALUE(SUBSTITUTE(SUBSTITUTE($S10,"$",""),",","")),_xlpm.base,_xlpm.rate*(_xlpm.coverage/1000),_xlpm.fee,_xlfn.XLOOKUP("Royal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0" s="80">
        <f t="array" ref="AW10">IFERROR(_xlfn.LET(_xlpm.rate,INDEX('Gerber-GI'!$B$2:$C$32,MATCH($AE10,'Gerber-GI'!$A$2:$A$32,0),IF(LOWER(TRIM($F10))="male",1,2)),_xlpm.coverage,VALUE(SUBSTITUTE(SUBSTITUTE($S10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0" s="80">
        <f t="array" ref="AX10">IFERROR(_xlfn.LET(_xlpm.rate,INDEX('Mutual of Omaha'!$B$2:$E$42,MATCH($AE10,'Mutual of Omaha'!$A$2:$A$42,0),IF(LOWER(TRIM($F10))="male",IF(LOWER(TRIM($K10))="yes",2,1),IF(LOWER(TRIM($K10))="yes",4,3))),_xlpm.coverage,VALUE(SUBSTITUTE(SUBSTITUTE($S10,"$",""),",","")),_xlpm.base,_xlpm.rate*(_xlpm.coverage/1000),_xlpm.fee,_xlfn.XLOOKUP("Mutal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0" s="80">
        <f t="array" ref="AY10">IFERROR(_xlfn.LET(_xlpm.rate,INDEX('Mutual of Omaha-Graded'!$B$2:$E$37,MATCH($AE10,'Mutual of Omaha-Graded'!$A$2:$A$37,0),IF(LOWER(TRIM($F10))="male",IF(LOWER(TRIM($K10))="yes",2,1),IF(LOWER(TRIM($K10))="yes",4,3))),_xlpm.coverage,VALUE(SUBSTITUTE(SUBSTITUTE($S10,"$",""),",","")),_xlpm.base,_xlpm.rate*(_xlpm.coverage/1000),_xlpm.fee,_xlfn.XLOOKUP("Mutual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0" s="80">
        <f>AP10</f>
        <v/>
      </c>
      <c r="BA10" s="80">
        <f>IFERROR(IF(AND(AP10&gt;0,AP10&lt;VALUE(SUBSTITUTE(SUBSTITUTE($T10,"$",""),",",""))),VALUE(SUBSTITUTE(SUBSTITUTE($T10,"$",""),",",""))-AP10,""),"")</f>
        <v/>
      </c>
      <c r="BB10" s="80">
        <f>AL10</f>
        <v/>
      </c>
      <c r="BC10" s="80">
        <f>IFERROR(IF(AND(AL10&gt;0,AL10&lt;VALUE(SUBSTITUTE(SUBSTITUTE($T10,"$",""),",",""))),VALUE(SUBSTITUTE(SUBSTITUTE($T10,"$",""),",",""))-AL10,""),"")</f>
        <v/>
      </c>
      <c r="BD10">
        <f t="array" ref="BD10">IFERROR(_xlfn.LET(_xlpm.current,VALUE(SUBSTITUTE(SUBSTITUTE($T10,"$",""),",","")),_xlpm.quotes,AF10:AY10,_xlpm.lowest,_xlfn.MINIFS(_xlpm.quotes,_xlpm.quotes,"&lt;"&amp;_xlpm.current,_xlpm.quotes,"&gt;0"),IF(_xlpm.lowest="","",SUBSTITUTE(INDEX($AF$1:$AY$1,1,MATCH(_xlpm.lowest,_xlpm.quotes,0))," Monthly Quote",""))),"")</f>
        <v/>
      </c>
      <c r="BE10" s="80">
        <f t="array" ref="BE10">IFERROR(_xlfn.LET(_xlpm.current,VALUE(SUBSTITUTE(SUBSTITUTE($T10,"$",""),",","")),_xlpm.quotes,AF10:AY10,_xlpm.lowest,_xlfn.MINIFS(_xlpm.quotes,_xlpm.quotes,"&lt;"&amp;_xlpm.current,_xlpm.quotes,"&gt;0"),IF(_xlpm.lowest="","",_xlpm.current-_xlpm.lowest)),"")</f>
        <v/>
      </c>
    </row>
    <row r="11">
      <c r="A11" s="67" t="inlineStr">
        <is>
          <t>Logie</t>
        </is>
      </c>
      <c r="B11" s="67" t="inlineStr">
        <is>
          <t>Bird</t>
        </is>
      </c>
      <c r="C11" s="68" t="n">
        <v>9185851242</v>
      </c>
      <c r="D11" s="68" t="n">
        <v>79</v>
      </c>
      <c r="E11" s="69" t="n">
        <v>16920</v>
      </c>
      <c r="F11" s="67" t="inlineStr">
        <is>
          <t>Female</t>
        </is>
      </c>
      <c r="G11" s="67" t="inlineStr">
        <is>
          <t>331 E Virgin St.Tulsa, OK 74106</t>
        </is>
      </c>
      <c r="H11" s="67" t="inlineStr">
        <is>
          <t>OK</t>
        </is>
      </c>
      <c r="I11" s="68" t="n">
        <v>5.11</v>
      </c>
      <c r="J11" s="68" t="n">
        <v>179</v>
      </c>
      <c r="K11" s="67" t="inlineStr">
        <is>
          <t>No</t>
        </is>
      </c>
      <c r="L11" s="67" t="inlineStr">
        <is>
          <t>.</t>
        </is>
      </c>
      <c r="M11" s="67" t="inlineStr">
        <is>
          <t>Burial</t>
        </is>
      </c>
      <c r="N11" s="67" t="inlineStr">
        <is>
          <t>Jordan Bird: 12/30/1992</t>
        </is>
      </c>
      <c r="O11" s="67" t="inlineStr">
        <is>
          <t>Son</t>
        </is>
      </c>
      <c r="P11" s="67" t="inlineStr">
        <is>
          <t>.</t>
        </is>
      </c>
      <c r="Q11" s="67" t="inlineStr">
        <is>
          <t>.</t>
        </is>
      </c>
      <c r="R11" s="67" t="inlineStr">
        <is>
          <t>SBLI</t>
        </is>
      </c>
      <c r="S11" s="70" t="n">
        <v>8000</v>
      </c>
      <c r="T11" s="74" t="n">
        <v>84.5</v>
      </c>
      <c r="U11" s="69" t="n">
        <v>45987</v>
      </c>
      <c r="V11" s="69" t="n">
        <v>46015</v>
      </c>
      <c r="W11" s="68" t="n">
        <v>442462382</v>
      </c>
      <c r="X11" s="67" t="inlineStr">
        <is>
          <t>.</t>
        </is>
      </c>
      <c r="Y11" s="67" t="inlineStr">
        <is>
          <t>TTCU Federal Credit Union</t>
        </is>
      </c>
      <c r="Z11" s="68" t="n">
        <v>303986313</v>
      </c>
      <c r="AA11" s="68" t="n">
        <v>1001254797</v>
      </c>
      <c r="AB11" s="67" t="inlineStr">
        <is>
          <t>Pain Stomach High blood presure</t>
        </is>
      </c>
      <c r="AC11" s="67" t="inlineStr">
        <is>
          <t>3 pills</t>
        </is>
      </c>
      <c r="AD11" s="67" t="inlineStr">
        <is>
          <t>Dr Tuana Diep</t>
        </is>
      </c>
      <c r="AE11" s="68" t="n">
        <v>80</v>
      </c>
      <c r="AF11" s="80">
        <f t="array" ref="AF11">IFERROR(_xlfn.LET(_xlpm.rate,INDEX(aflac!$B$2:$E$37,MATCH($AE11,aflac!$A$2:$A$37,0),IF(LOWER(TRIM($F11))="male",IF(LOWER(TRIM($K11))="yes",2,1),IF(LOWER(TRIM($K11))="yes",4,3))),_xlpm.coverage,VALUE(SUBSTITUTE(SUBSTITUTE($S11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1" s="80">
        <f t="array" ref="AG11">IFERROR(_xlfn.LET(_xlpm.rate,INDEX('aflac-modified'!$B$2:$C$32,MATCH($AE11,'aflac-modified'!$A$2:$A$32,0),IF(LOWER(TRIM($F11))="male",1,2)),_xlpm.coverage,VALUE(SUBSTITUTE(SUBSTITUTE($S11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1" s="80">
        <f t="array" ref="AH11">IFERROR(_xlfn.LET(_xlpm.rate,INDEX(SBLI!$B$2:$E$37,MATCH($AE11,SBLI!$A$2:$A$37,0),IF(LOWER(TRIM($F11))="male",IF(LOWER(TRIM($K11))="yes",2,1),IF(LOWER(TRIM($K11))="yes",4,3))),_xlpm.coverage,VALUE(SUBSTITUTE(SUBSTITUTE($S11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1" s="80">
        <f t="array" ref="AI11">IFERROR(_xlfn.LET(_xlpm.rate,INDEX('SBLI-Modified'!$B$2:$E$27,MATCH($AE11,'SBLI-Modified'!$A$2:$A$27,0),IF(LOWER(TRIM($F11))="male",IF(LOWER(TRIM($K11))="yes",2,1),IF(LOWER(TRIM($K11))="yes",4,3))),_xlpm.coverage,VALUE(SUBSTITUTE(SUBSTITUTE($S11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1" s="80">
        <f t="array" ref="AJ11">IFERROR(_xlfn.LET(_xlpm.rate,INDEX(CICA!$B$2:$C$42,MATCH($AE11,CICA!$A$2:$A$42,0),IF(LOWER(TRIM($F11))="male",1,2)),_xlpm.coverage,VALUE(SUBSTITUTE(SUBSTITUTE($S11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1" s="80">
        <f t="array" ref="AK11">IFERROR(_xlfn.LET(_xlpm.rate,INDEX('CICA-GI'!$B$2:$C$47,MATCH($AE11,'CICA-GI'!$A$2:$A$47,0),IF(LOWER(TRIM($F11))="male",1,2)),_xlpm.coverage,VALUE(SUBSTITUTE(SUBSTITUTE($S11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1" s="80">
        <f t="array" ref="AL11">IFERROR(_xlfn.LET(_xlpm.rate,INDEX(gtl!$B$2:$C$52,MATCH($AE11,gtl!$A$2:$A$52,0),IF(LOWER(TRIM($F11))="male",1,2)),_xlpm.coverage,VALUE(SUBSTITUTE(SUBSTITUTE($S11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1" s="80">
        <f t="array" ref="AM11">IFERROR(_xlfn.LET(_xlpm.rate,INDEX(TransAmerica!$B$2:$E$69,MATCH($AE11,TransAmerica!$A$2:$A$69,0),IF(LOWER(TRIM($F11))="male",IF(LOWER(TRIM($K11))="yes",2,1),IF(LOWER(TRIM($K11))="yes",4,3))),_xlpm.coverage,VALUE(SUBSTITUTE(SUBSTITUTE($S11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1" s="80">
        <f t="array" ref="AN11">IFERROR(_xlfn.LET(_xlpm.rate,INDEX('TransAmerica Graded'!$B$2:$E$64,MATCH($AE11,'TransAmerica Graded'!$A$2:$A$64,0),IF(LOWER(TRIM($F11))="male",IF(LOWER(TRIM($K11))="yes",2,1),IF(LOWER(TRIM($K11))="yes",4,3))),_xlpm.coverage,VALUE(SUBSTITUTE(SUBSTITUTE($S11,"$",""),",","")),_xlpm.base,_xlpm.rate*(_xlpm.coverage/1000),_xlpm.fee,_xlfn.XLOOKUP("TransAmerica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1" s="80">
        <f t="array" ref="AO11">IFERROR(_xlfn.LET(_xlpm.rate,INDEX(Corebridge!$B$2:$C$32,MATCH($AE11,Corebridge!$A$2:$A$32,0),IF(LOWER(TRIM($F11))="male",1,2)),_xlpm.coverage,VALUE(SUBSTITUTE(SUBSTITUTE($S11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1" s="80">
        <f t="array" ref="AP11">IFERROR(_xlfn.LET(_xlpm.rate,INDEX(amam!$B$2:$E$37,MATCH($AE11,amam!$A$2:$A$37,0),IF(LOWER(TRIM($F11))="male",IF(LOWER(TRIM($K11))="yes",2,1),IF(LOWER(TRIM($K11))="yes",4,3))),_xlpm.coverage,VALUE(SUBSTITUTE(SUBSTITUTE($S11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1" s="80">
        <f t="array" ref="AQ11">IFERROR(_xlfn.LET(_xlpm.rate,INDEX('amam-graded'!$B$2:$E$37,MATCH($AE11,'amam-graded'!$A$2:$A$37,0),IF(LOWER(TRIM($F11))="male",IF(LOWER(TRIM($K11))="yes",2,1),IF(LOWER(TRIM($K11))="yes",4,3))),_xlpm.coverage,VALUE(SUBSTITUTE(SUBSTITUTE($S11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1" s="80">
        <f t="array" ref="AR11">IFERROR(_xlfn.LET(_xlpm.rate,INDEX('amam-return-or-premium'!$B$2:$E$37,MATCH($AE11,'amam-return-or-premium'!$A$2:$A$37,0),IF(LOWER(TRIM($F11))="male",IF(LOWER(TRIM($K11))="yes",2,1),IF(LOWER(TRIM($K11))="yes",4,3))),_xlpm.coverage,VALUE(SUBSTITUTE(SUBSTITUTE($S11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1" s="80">
        <f t="array" ref="AS11">IFERROR(_xlfn.LET(_xlpm.rate,INDEX(AHL!$B$2:$E$37,MATCH($AE11,AHL!$A$2:$A$37,0),IF(LOWER(TRIM($F11))="male",IF(LOWER(TRIM($K11))="yes",2,1),IF(LOWER(TRIM($K11))="yes",4,3))),_xlpm.coverage,VALUE(SUBSTITUTE(SUBSTITUTE($S11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1" s="80">
        <f t="array" ref="AT11">IFERROR(_xlfn.LET(_xlpm.rate,INDEX('AHL-Graded'!$B$2:$E$32,MATCH($AE11,'AHL-Graded'!$A$2:$A$32,0),IF(LOWER(TRIM($F11))="male",IF(LOWER(TRIM($K11))="yes",2,1),IF(LOWER(TRIM($K11))="yes",4,3))),_xlpm.coverage,VALUE(SUBSTITUTE(SUBSTITUTE($S11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1" s="80">
        <f t="array" ref="AU11">IFERROR(_xlfn.LET(_xlpm.rate,INDEX('Royal Neighbors'!$B$2:$E$37,MATCH($AE11,'Royal Neighbors'!$A$2:$A$37,0),IF(LOWER(TRIM($F11))="male",IF(LOWER(TRIM($K11))="yes",2,1),IF(LOWER(TRIM($K11))="yes",4,3))),_xlpm.coverage,VALUE(SUBSTITUTE(SUBSTITUTE($S11,"$",""),",","")),_xlpm.base,_xlpm.rate*(_xlpm.coverage/1000),_xlpm.fee,_xlfn.XLOOKUP("Royal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1" s="80">
        <f t="array" ref="AV11">IFERROR(_xlfn.LET(_xlpm.rate,INDEX('Royal Neighbors-Graded'!$B$2:$E$37,MATCH($AE11,'Royal Neighbors-Graded'!$A$2:$A$37,0),IF(LOWER(TRIM($F11))="male",IF(LOWER(TRIM($K11))="yes",2,1),IF(LOWER(TRIM($K11))="yes",4,3))),_xlpm.coverage,VALUE(SUBSTITUTE(SUBSTITUTE($S11,"$",""),",","")),_xlpm.base,_xlpm.rate*(_xlpm.coverage/1000),_xlpm.fee,_xlfn.XLOOKUP("Royal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1" s="80">
        <f t="array" ref="AW11">IFERROR(_xlfn.LET(_xlpm.rate,INDEX('Gerber-GI'!$B$2:$C$32,MATCH($AE11,'Gerber-GI'!$A$2:$A$32,0),IF(LOWER(TRIM($F11))="male",1,2)),_xlpm.coverage,VALUE(SUBSTITUTE(SUBSTITUTE($S11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1" s="80">
        <f t="array" ref="AX11">IFERROR(_xlfn.LET(_xlpm.rate,INDEX('Mutual of Omaha'!$B$2:$E$42,MATCH($AE11,'Mutual of Omaha'!$A$2:$A$42,0),IF(LOWER(TRIM($F11))="male",IF(LOWER(TRIM($K11))="yes",2,1),IF(LOWER(TRIM($K11))="yes",4,3))),_xlpm.coverage,VALUE(SUBSTITUTE(SUBSTITUTE($S11,"$",""),",","")),_xlpm.base,_xlpm.rate*(_xlpm.coverage/1000),_xlpm.fee,_xlfn.XLOOKUP("Mutal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1" s="80">
        <f t="array" ref="AY11">IFERROR(_xlfn.LET(_xlpm.rate,INDEX('Mutual of Omaha-Graded'!$B$2:$E$37,MATCH($AE11,'Mutual of Omaha-Graded'!$A$2:$A$37,0),IF(LOWER(TRIM($F11))="male",IF(LOWER(TRIM($K11))="yes",2,1),IF(LOWER(TRIM($K11))="yes",4,3))),_xlpm.coverage,VALUE(SUBSTITUTE(SUBSTITUTE($S11,"$",""),",","")),_xlpm.base,_xlpm.rate*(_xlpm.coverage/1000),_xlpm.fee,_xlfn.XLOOKUP("Mutual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1" s="80">
        <f>AP11</f>
        <v/>
      </c>
      <c r="BA11" s="80">
        <f>IFERROR(IF(AND(AP11&gt;0,AP11&lt;VALUE(SUBSTITUTE(SUBSTITUTE($T11,"$",""),",",""))),VALUE(SUBSTITUTE(SUBSTITUTE($T11,"$",""),",",""))-AP11,""),"")</f>
        <v/>
      </c>
      <c r="BB11" s="80">
        <f>AL11</f>
        <v/>
      </c>
      <c r="BC11" s="80">
        <f>IFERROR(IF(AND(AL11&gt;0,AL11&lt;VALUE(SUBSTITUTE(SUBSTITUTE($T11,"$",""),",",""))),VALUE(SUBSTITUTE(SUBSTITUTE($T11,"$",""),",",""))-AL11,""),"")</f>
        <v/>
      </c>
      <c r="BD11">
        <f t="array" ref="BD11">IFERROR(_xlfn.LET(_xlpm.current,VALUE(SUBSTITUTE(SUBSTITUTE($T11,"$",""),",","")),_xlpm.quotes,AF11:AY11,_xlpm.lowest,_xlfn.MINIFS(_xlpm.quotes,_xlpm.quotes,"&lt;"&amp;_xlpm.current,_xlpm.quotes,"&gt;0"),IF(_xlpm.lowest="","",SUBSTITUTE(INDEX($AF$1:$AY$1,1,MATCH(_xlpm.lowest,_xlpm.quotes,0))," Monthly Quote",""))),"")</f>
        <v/>
      </c>
      <c r="BE11" s="80">
        <f t="array" ref="BE11">IFERROR(_xlfn.LET(_xlpm.current,VALUE(SUBSTITUTE(SUBSTITUTE($T11,"$",""),",","")),_xlpm.quotes,AF11:AY11,_xlpm.lowest,_xlfn.MINIFS(_xlpm.quotes,_xlpm.quotes,"&lt;"&amp;_xlpm.current,_xlpm.quotes,"&gt;0"),IF(_xlpm.lowest="","",_xlpm.current-_xlpm.lowest)),"")</f>
        <v/>
      </c>
    </row>
    <row r="12">
      <c r="A12" s="67" t="inlineStr">
        <is>
          <t>Charlene P</t>
        </is>
      </c>
      <c r="B12" s="67" t="inlineStr">
        <is>
          <t>Walls</t>
        </is>
      </c>
      <c r="C12" s="68" t="n">
        <v>7043929813</v>
      </c>
      <c r="D12" s="68" t="n">
        <v>77</v>
      </c>
      <c r="E12" s="69" t="n">
        <v>17791</v>
      </c>
      <c r="F12" s="67" t="inlineStr">
        <is>
          <t>Female</t>
        </is>
      </c>
      <c r="G12" s="67" t="inlineStr">
        <is>
          <t>9725 Feldbank Dr Charlotte NC 28216</t>
        </is>
      </c>
      <c r="H12" s="67" t="inlineStr">
        <is>
          <t>NC</t>
        </is>
      </c>
      <c r="I12" s="68" t="n">
        <v>5.8</v>
      </c>
      <c r="J12" s="68" t="n">
        <v>170</v>
      </c>
      <c r="K12" s="67" t="inlineStr">
        <is>
          <t>No</t>
        </is>
      </c>
      <c r="L12" s="67" t="inlineStr">
        <is>
          <t>.</t>
        </is>
      </c>
      <c r="M12" s="67" t="inlineStr">
        <is>
          <t>Burial</t>
        </is>
      </c>
      <c r="N12" s="67" t="inlineStr">
        <is>
          <t>Lisa Hunter: 06/16/1964</t>
        </is>
      </c>
      <c r="O12" s="67" t="inlineStr">
        <is>
          <t>Daughter</t>
        </is>
      </c>
      <c r="P12" s="67" t="inlineStr">
        <is>
          <t>.</t>
        </is>
      </c>
      <c r="Q12" s="67" t="inlineStr">
        <is>
          <t>.</t>
        </is>
      </c>
      <c r="R12" s="67" t="inlineStr">
        <is>
          <t>SBLI</t>
        </is>
      </c>
      <c r="S12" s="70" t="n">
        <v>5000</v>
      </c>
      <c r="T12" s="74" t="n">
        <v>48.34</v>
      </c>
      <c r="U12" s="69" t="n">
        <v>45980</v>
      </c>
      <c r="V12" s="69" t="n">
        <v>46010</v>
      </c>
      <c r="W12" s="68" t="n">
        <v>240783178</v>
      </c>
      <c r="X12" s="67" t="inlineStr">
        <is>
          <t>.</t>
        </is>
      </c>
      <c r="Y12" s="67" t="inlineStr">
        <is>
          <t>SKYLA FEDERAL CREDIT UNION</t>
        </is>
      </c>
      <c r="Z12" s="68" t="n">
        <v>253075028</v>
      </c>
      <c r="AA12" s="68" t="n">
        <v>253075028</v>
      </c>
      <c r="AB12" s="67" t="inlineStr">
        <is>
          <t>Allergies</t>
        </is>
      </c>
      <c r="AC12" s="67" t="inlineStr">
        <is>
          <t>3 pills</t>
        </is>
      </c>
      <c r="AD12" s="67" t="inlineStr">
        <is>
          <t>Dr Walter Johnson</t>
        </is>
      </c>
      <c r="AE12" s="68" t="n">
        <v>77</v>
      </c>
      <c r="AF12" s="80">
        <f t="array" ref="AF12">IFERROR(_xlfn.LET(_xlpm.rate,INDEX(aflac!$B$2:$E$37,MATCH($AE12,aflac!$A$2:$A$37,0),IF(LOWER(TRIM($F12))="male",IF(LOWER(TRIM($K12))="yes",2,1),IF(LOWER(TRIM($K12))="yes",4,3))),_xlpm.coverage,VALUE(SUBSTITUTE(SUBSTITUTE($S12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2" s="80">
        <f t="array" ref="AG12">IFERROR(_xlfn.LET(_xlpm.rate,INDEX('aflac-modified'!$B$2:$C$32,MATCH($AE12,'aflac-modified'!$A$2:$A$32,0),IF(LOWER(TRIM($F12))="male",1,2)),_xlpm.coverage,VALUE(SUBSTITUTE(SUBSTITUTE($S12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2" s="80">
        <f t="array" ref="AH12">IFERROR(_xlfn.LET(_xlpm.rate,INDEX(SBLI!$B$2:$E$37,MATCH($AE12,SBLI!$A$2:$A$37,0),IF(LOWER(TRIM($F12))="male",IF(LOWER(TRIM($K12))="yes",2,1),IF(LOWER(TRIM($K12))="yes",4,3))),_xlpm.coverage,VALUE(SUBSTITUTE(SUBSTITUTE($S12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2" s="80">
        <f t="array" ref="AI12">IFERROR(_xlfn.LET(_xlpm.rate,INDEX('SBLI-Modified'!$B$2:$E$27,MATCH($AE12,'SBLI-Modified'!$A$2:$A$27,0),IF(LOWER(TRIM($F12))="male",IF(LOWER(TRIM($K12))="yes",2,1),IF(LOWER(TRIM($K12))="yes",4,3))),_xlpm.coverage,VALUE(SUBSTITUTE(SUBSTITUTE($S12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2" s="80">
        <f t="array" ref="AJ12">IFERROR(_xlfn.LET(_xlpm.rate,INDEX(CICA!$B$2:$C$42,MATCH($AE12,CICA!$A$2:$A$42,0),IF(LOWER(TRIM($F12))="male",1,2)),_xlpm.coverage,VALUE(SUBSTITUTE(SUBSTITUTE($S12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2" s="80">
        <f t="array" ref="AK12">IFERROR(_xlfn.LET(_xlpm.rate,INDEX('CICA-GI'!$B$2:$C$47,MATCH($AE12,'CICA-GI'!$A$2:$A$47,0),IF(LOWER(TRIM($F12))="male",1,2)),_xlpm.coverage,VALUE(SUBSTITUTE(SUBSTITUTE($S12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2" s="80">
        <f t="array" ref="AL12">IFERROR(_xlfn.LET(_xlpm.rate,INDEX(gtl!$B$2:$C$52,MATCH($AE12,gtl!$A$2:$A$52,0),IF(LOWER(TRIM($F12))="male",1,2)),_xlpm.coverage,VALUE(SUBSTITUTE(SUBSTITUTE($S12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2" s="80">
        <f t="array" ref="AM12">IFERROR(_xlfn.LET(_xlpm.rate,INDEX(TransAmerica!$B$2:$E$69,MATCH($AE12,TransAmerica!$A$2:$A$69,0),IF(LOWER(TRIM($F12))="male",IF(LOWER(TRIM($K12))="yes",2,1),IF(LOWER(TRIM($K12))="yes",4,3))),_xlpm.coverage,VALUE(SUBSTITUTE(SUBSTITUTE($S12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2" s="80">
        <f t="array" ref="AN12">IFERROR(_xlfn.LET(_xlpm.rate,INDEX('TransAmerica Graded'!$B$2:$E$64,MATCH($AE12,'TransAmerica Graded'!$A$2:$A$64,0),IF(LOWER(TRIM($F12))="male",IF(LOWER(TRIM($K12))="yes",2,1),IF(LOWER(TRIM($K12))="yes",4,3))),_xlpm.coverage,VALUE(SUBSTITUTE(SUBSTITUTE($S12,"$",""),",","")),_xlpm.base,_xlpm.rate*(_xlpm.coverage/1000),_xlpm.fee,_xlfn.XLOOKUP("TransAmerica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2" s="80">
        <f t="array" ref="AO12">IFERROR(_xlfn.LET(_xlpm.rate,INDEX(Corebridge!$B$2:$C$32,MATCH($AE12,Corebridge!$A$2:$A$32,0),IF(LOWER(TRIM($F12))="male",1,2)),_xlpm.coverage,VALUE(SUBSTITUTE(SUBSTITUTE($S12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2" s="80">
        <f t="array" ref="AP12">IFERROR(_xlfn.LET(_xlpm.rate,INDEX(amam!$B$2:$E$37,MATCH($AE12,amam!$A$2:$A$37,0),IF(LOWER(TRIM($F12))="male",IF(LOWER(TRIM($K12))="yes",2,1),IF(LOWER(TRIM($K12))="yes",4,3))),_xlpm.coverage,VALUE(SUBSTITUTE(SUBSTITUTE($S12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2" s="80">
        <f t="array" ref="AQ12">IFERROR(_xlfn.LET(_xlpm.rate,INDEX('amam-graded'!$B$2:$E$37,MATCH($AE12,'amam-graded'!$A$2:$A$37,0),IF(LOWER(TRIM($F12))="male",IF(LOWER(TRIM($K12))="yes",2,1),IF(LOWER(TRIM($K12))="yes",4,3))),_xlpm.coverage,VALUE(SUBSTITUTE(SUBSTITUTE($S12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2" s="80">
        <f t="array" ref="AR12">IFERROR(_xlfn.LET(_xlpm.rate,INDEX('amam-return-or-premium'!$B$2:$E$37,MATCH($AE12,'amam-return-or-premium'!$A$2:$A$37,0),IF(LOWER(TRIM($F12))="male",IF(LOWER(TRIM($K12))="yes",2,1),IF(LOWER(TRIM($K12))="yes",4,3))),_xlpm.coverage,VALUE(SUBSTITUTE(SUBSTITUTE($S12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2" s="80">
        <f t="array" ref="AS12">IFERROR(_xlfn.LET(_xlpm.rate,INDEX(AHL!$B$2:$E$37,MATCH($AE12,AHL!$A$2:$A$37,0),IF(LOWER(TRIM($F12))="male",IF(LOWER(TRIM($K12))="yes",2,1),IF(LOWER(TRIM($K12))="yes",4,3))),_xlpm.coverage,VALUE(SUBSTITUTE(SUBSTITUTE($S12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2" s="80">
        <f t="array" ref="AT12">IFERROR(_xlfn.LET(_xlpm.rate,INDEX('AHL-Graded'!$B$2:$E$32,MATCH($AE12,'AHL-Graded'!$A$2:$A$32,0),IF(LOWER(TRIM($F12))="male",IF(LOWER(TRIM($K12))="yes",2,1),IF(LOWER(TRIM($K12))="yes",4,3))),_xlpm.coverage,VALUE(SUBSTITUTE(SUBSTITUTE($S12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2" s="80">
        <f t="array" ref="AU12">IFERROR(_xlfn.LET(_xlpm.rate,INDEX('Royal Neighbors'!$B$2:$E$37,MATCH($AE12,'Royal Neighbors'!$A$2:$A$37,0),IF(LOWER(TRIM($F12))="male",IF(LOWER(TRIM($K12))="yes",2,1),IF(LOWER(TRIM($K12))="yes",4,3))),_xlpm.coverage,VALUE(SUBSTITUTE(SUBSTITUTE($S12,"$",""),",","")),_xlpm.base,_xlpm.rate*(_xlpm.coverage/1000),_xlpm.fee,_xlfn.XLOOKUP("Royal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2" s="80">
        <f t="array" ref="AV12">IFERROR(_xlfn.LET(_xlpm.rate,INDEX('Royal Neighbors-Graded'!$B$2:$E$37,MATCH($AE12,'Royal Neighbors-Graded'!$A$2:$A$37,0),IF(LOWER(TRIM($F12))="male",IF(LOWER(TRIM($K12))="yes",2,1),IF(LOWER(TRIM($K12))="yes",4,3))),_xlpm.coverage,VALUE(SUBSTITUTE(SUBSTITUTE($S12,"$",""),",","")),_xlpm.base,_xlpm.rate*(_xlpm.coverage/1000),_xlpm.fee,_xlfn.XLOOKUP("Royal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2" s="80">
        <f t="array" ref="AW12">IFERROR(_xlfn.LET(_xlpm.rate,INDEX('Gerber-GI'!$B$2:$C$32,MATCH($AE12,'Gerber-GI'!$A$2:$A$32,0),IF(LOWER(TRIM($F12))="male",1,2)),_xlpm.coverage,VALUE(SUBSTITUTE(SUBSTITUTE($S12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2" s="80">
        <f t="array" ref="AX12">IFERROR(_xlfn.LET(_xlpm.rate,INDEX('Mutual of Omaha'!$B$2:$E$42,MATCH($AE12,'Mutual of Omaha'!$A$2:$A$42,0),IF(LOWER(TRIM($F12))="male",IF(LOWER(TRIM($K12))="yes",2,1),IF(LOWER(TRIM($K12))="yes",4,3))),_xlpm.coverage,VALUE(SUBSTITUTE(SUBSTITUTE($S12,"$",""),",","")),_xlpm.base,_xlpm.rate*(_xlpm.coverage/1000),_xlpm.fee,_xlfn.XLOOKUP("Mutal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2" s="80">
        <f t="array" ref="AY12">IFERROR(_xlfn.LET(_xlpm.rate,INDEX('Mutual of Omaha-Graded'!$B$2:$E$37,MATCH($AE12,'Mutual of Omaha-Graded'!$A$2:$A$37,0),IF(LOWER(TRIM($F12))="male",IF(LOWER(TRIM($K12))="yes",2,1),IF(LOWER(TRIM($K12))="yes",4,3))),_xlpm.coverage,VALUE(SUBSTITUTE(SUBSTITUTE($S12,"$",""),",","")),_xlpm.base,_xlpm.rate*(_xlpm.coverage/1000),_xlpm.fee,_xlfn.XLOOKUP("Mutual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2" s="80">
        <f>AP12</f>
        <v/>
      </c>
      <c r="BA12" s="80">
        <f>IFERROR(IF(AND(AP12&gt;0,AP12&lt;VALUE(SUBSTITUTE(SUBSTITUTE($T12,"$",""),",",""))),VALUE(SUBSTITUTE(SUBSTITUTE($T12,"$",""),",",""))-AP12,""),"")</f>
        <v/>
      </c>
      <c r="BB12" s="80">
        <f>AL12</f>
        <v/>
      </c>
      <c r="BC12" s="80">
        <f>IFERROR(IF(AND(AL12&gt;0,AL12&lt;VALUE(SUBSTITUTE(SUBSTITUTE($T12,"$",""),",",""))),VALUE(SUBSTITUTE(SUBSTITUTE($T12,"$",""),",",""))-AL12,""),"")</f>
        <v/>
      </c>
      <c r="BD12">
        <f t="array" ref="BD12">IFERROR(_xlfn.LET(_xlpm.current,VALUE(SUBSTITUTE(SUBSTITUTE($T12,"$",""),",","")),_xlpm.quotes,AF12:AY12,_xlpm.lowest,_xlfn.MINIFS(_xlpm.quotes,_xlpm.quotes,"&lt;"&amp;_xlpm.current,_xlpm.quotes,"&gt;0"),IF(_xlpm.lowest="","",SUBSTITUTE(INDEX($AF$1:$AY$1,1,MATCH(_xlpm.lowest,_xlpm.quotes,0))," Monthly Quote",""))),"")</f>
        <v/>
      </c>
      <c r="BE12" s="80">
        <f t="array" ref="BE12">IFERROR(_xlfn.LET(_xlpm.current,VALUE(SUBSTITUTE(SUBSTITUTE($T12,"$",""),",","")),_xlpm.quotes,AF12:AY12,_xlpm.lowest,_xlfn.MINIFS(_xlpm.quotes,_xlpm.quotes,"&lt;"&amp;_xlpm.current,_xlpm.quotes,"&gt;0"),IF(_xlpm.lowest="","",_xlpm.current-_xlpm.lowest)),"")</f>
        <v/>
      </c>
    </row>
    <row r="13">
      <c r="A13" s="67" t="inlineStr">
        <is>
          <t>Richard L</t>
        </is>
      </c>
      <c r="B13" s="67" t="inlineStr">
        <is>
          <t>Stein</t>
        </is>
      </c>
      <c r="C13" s="68" t="n">
        <v>4144661786</v>
      </c>
      <c r="D13" s="68" t="n">
        <v>70</v>
      </c>
      <c r="E13" s="69" t="n">
        <v>20134</v>
      </c>
      <c r="F13" s="67" t="inlineStr">
        <is>
          <t>Male</t>
        </is>
      </c>
      <c r="G13" s="67" t="inlineStr">
        <is>
          <t>5139 N 56th St Milwaukee Wi 53218</t>
        </is>
      </c>
      <c r="H13" s="67" t="inlineStr">
        <is>
          <t>WI</t>
        </is>
      </c>
      <c r="I13" s="68" t="n">
        <v>5.11</v>
      </c>
      <c r="J13" s="68" t="n">
        <v>190</v>
      </c>
      <c r="K13" s="67" t="inlineStr">
        <is>
          <t>Yes</t>
        </is>
      </c>
      <c r="L13" s="67" t="inlineStr">
        <is>
          <t>.</t>
        </is>
      </c>
      <c r="M13" s="67" t="inlineStr">
        <is>
          <t>Burial</t>
        </is>
      </c>
      <c r="N13" s="67" t="inlineStr">
        <is>
          <t>Larry Stein: 02/16/1952</t>
        </is>
      </c>
      <c r="O13" s="67" t="inlineStr">
        <is>
          <t>Brother</t>
        </is>
      </c>
      <c r="P13" s="67" t="inlineStr">
        <is>
          <t>.</t>
        </is>
      </c>
      <c r="Q13" s="67" t="inlineStr">
        <is>
          <t>.</t>
        </is>
      </c>
      <c r="R13" s="67" t="inlineStr">
        <is>
          <t>SBLI</t>
        </is>
      </c>
      <c r="S13" s="70" t="n">
        <v>4000</v>
      </c>
      <c r="T13" s="71" t="n">
        <v>55.34</v>
      </c>
      <c r="U13" s="69" t="n">
        <v>45995</v>
      </c>
      <c r="V13" s="69" t="n">
        <v>46026</v>
      </c>
      <c r="W13" s="68" t="n">
        <v>396549926</v>
      </c>
      <c r="X13" s="67" t="inlineStr">
        <is>
          <t>.</t>
        </is>
      </c>
      <c r="Y13" s="67" t="inlineStr">
        <is>
          <t>US Bank</t>
        </is>
      </c>
      <c r="Z13" s="68" t="n">
        <v>75000022</v>
      </c>
      <c r="AA13" s="72" t="n">
        <v>182000000000</v>
      </c>
      <c r="AB13" s="67" t="inlineStr">
        <is>
          <t>Thyroid Chelostrol Enlarged Prostate</t>
        </is>
      </c>
      <c r="AC13" s="67" t="inlineStr">
        <is>
          <t>Livothiroxin Alfuzosin Atorvastatin</t>
        </is>
      </c>
      <c r="AD13" s="67" t="inlineStr">
        <is>
          <t>Dr. David Jenks</t>
        </is>
      </c>
      <c r="AE13" s="68" t="n">
        <v>71</v>
      </c>
      <c r="AF13" s="80">
        <f t="array" ref="AF13">IFERROR(_xlfn.LET(_xlpm.rate,INDEX(aflac!$B$2:$E$37,MATCH($AE13,aflac!$A$2:$A$37,0),IF(LOWER(TRIM($F13))="male",IF(LOWER(TRIM($K13))="yes",2,1),IF(LOWER(TRIM($K13))="yes",4,3))),_xlpm.coverage,VALUE(SUBSTITUTE(SUBSTITUTE($S13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3" s="80">
        <f t="array" ref="AG13">IFERROR(_xlfn.LET(_xlpm.rate,INDEX('aflac-modified'!$B$2:$C$32,MATCH($AE13,'aflac-modified'!$A$2:$A$32,0),IF(LOWER(TRIM($F13))="male",1,2)),_xlpm.coverage,VALUE(SUBSTITUTE(SUBSTITUTE($S13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3" s="80">
        <f t="array" ref="AH13">IFERROR(_xlfn.LET(_xlpm.rate,INDEX(SBLI!$B$2:$E$37,MATCH($AE13,SBLI!$A$2:$A$37,0),IF(LOWER(TRIM($F13))="male",IF(LOWER(TRIM($K13))="yes",2,1),IF(LOWER(TRIM($K13))="yes",4,3))),_xlpm.coverage,VALUE(SUBSTITUTE(SUBSTITUTE($S13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3" s="80">
        <f t="array" ref="AI13">IFERROR(_xlfn.LET(_xlpm.rate,INDEX('SBLI-Modified'!$B$2:$E$27,MATCH($AE13,'SBLI-Modified'!$A$2:$A$27,0),IF(LOWER(TRIM($F13))="male",IF(LOWER(TRIM($K13))="yes",2,1),IF(LOWER(TRIM($K13))="yes",4,3))),_xlpm.coverage,VALUE(SUBSTITUTE(SUBSTITUTE($S13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3" s="80">
        <f t="array" ref="AJ13">IFERROR(_xlfn.LET(_xlpm.rate,INDEX(CICA!$B$2:$C$42,MATCH($AE13,CICA!$A$2:$A$42,0),IF(LOWER(TRIM($F13))="male",1,2)),_xlpm.coverage,VALUE(SUBSTITUTE(SUBSTITUTE($S13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3" s="80">
        <f t="array" ref="AK13">IFERROR(_xlfn.LET(_xlpm.rate,INDEX('CICA-GI'!$B$2:$C$47,MATCH($AE13,'CICA-GI'!$A$2:$A$47,0),IF(LOWER(TRIM($F13))="male",1,2)),_xlpm.coverage,VALUE(SUBSTITUTE(SUBSTITUTE($S13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3" s="80">
        <f t="array" ref="AL13">IFERROR(_xlfn.LET(_xlpm.rate,INDEX(gtl!$B$2:$C$52,MATCH($AE13,gtl!$A$2:$A$52,0),IF(LOWER(TRIM($F13))="male",1,2)),_xlpm.coverage,VALUE(SUBSTITUTE(SUBSTITUTE($S13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3" s="80">
        <f t="array" ref="AM13">IFERROR(_xlfn.LET(_xlpm.rate,INDEX(TransAmerica!$B$2:$E$69,MATCH($AE13,TransAmerica!$A$2:$A$69,0),IF(LOWER(TRIM($F13))="male",IF(LOWER(TRIM($K13))="yes",2,1),IF(LOWER(TRIM($K13))="yes",4,3))),_xlpm.coverage,VALUE(SUBSTITUTE(SUBSTITUTE($S13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3" s="80">
        <f t="array" ref="AN13">IFERROR(_xlfn.LET(_xlpm.rate,INDEX('TransAmerica Graded'!$B$2:$E$64,MATCH($AE13,'TransAmerica Graded'!$A$2:$A$64,0),IF(LOWER(TRIM($F13))="male",IF(LOWER(TRIM($K13))="yes",2,1),IF(LOWER(TRIM($K13))="yes",4,3))),_xlpm.coverage,VALUE(SUBSTITUTE(SUBSTITUTE($S13,"$",""),",","")),_xlpm.base,_xlpm.rate*(_xlpm.coverage/1000),_xlpm.fee,_xlfn.XLOOKUP("TransAmerica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3" s="80">
        <f t="array" ref="AO13">IFERROR(_xlfn.LET(_xlpm.rate,INDEX(Corebridge!$B$2:$C$32,MATCH($AE13,Corebridge!$A$2:$A$32,0),IF(LOWER(TRIM($F13))="male",1,2)),_xlpm.coverage,VALUE(SUBSTITUTE(SUBSTITUTE($S13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3" s="80">
        <f t="array" ref="AP13">IFERROR(_xlfn.LET(_xlpm.rate,INDEX(amam!$B$2:$E$37,MATCH($AE13,amam!$A$2:$A$37,0),IF(LOWER(TRIM($F13))="male",IF(LOWER(TRIM($K13))="yes",2,1),IF(LOWER(TRIM($K13))="yes",4,3))),_xlpm.coverage,VALUE(SUBSTITUTE(SUBSTITUTE($S13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3" s="80">
        <f t="array" ref="AQ13">IFERROR(_xlfn.LET(_xlpm.rate,INDEX('amam-graded'!$B$2:$E$37,MATCH($AE13,'amam-graded'!$A$2:$A$37,0),IF(LOWER(TRIM($F13))="male",IF(LOWER(TRIM($K13))="yes",2,1),IF(LOWER(TRIM($K13))="yes",4,3))),_xlpm.coverage,VALUE(SUBSTITUTE(SUBSTITUTE($S13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3" s="80">
        <f t="array" ref="AR13">IFERROR(_xlfn.LET(_xlpm.rate,INDEX('amam-return-or-premium'!$B$2:$E$37,MATCH($AE13,'amam-return-or-premium'!$A$2:$A$37,0),IF(LOWER(TRIM($F13))="male",IF(LOWER(TRIM($K13))="yes",2,1),IF(LOWER(TRIM($K13))="yes",4,3))),_xlpm.coverage,VALUE(SUBSTITUTE(SUBSTITUTE($S13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3" s="80">
        <f t="array" ref="AS13">IFERROR(_xlfn.LET(_xlpm.rate,INDEX(AHL!$B$2:$E$37,MATCH($AE13,AHL!$A$2:$A$37,0),IF(LOWER(TRIM($F13))="male",IF(LOWER(TRIM($K13))="yes",2,1),IF(LOWER(TRIM($K13))="yes",4,3))),_xlpm.coverage,VALUE(SUBSTITUTE(SUBSTITUTE($S13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3" s="80">
        <f t="array" ref="AT13">IFERROR(_xlfn.LET(_xlpm.rate,INDEX('AHL-Graded'!$B$2:$E$32,MATCH($AE13,'AHL-Graded'!$A$2:$A$32,0),IF(LOWER(TRIM($F13))="male",IF(LOWER(TRIM($K13))="yes",2,1),IF(LOWER(TRIM($K13))="yes",4,3))),_xlpm.coverage,VALUE(SUBSTITUTE(SUBSTITUTE($S13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3" s="80">
        <f t="array" ref="AU13">IFERROR(_xlfn.LET(_xlpm.rate,INDEX('Royal Neighbors'!$B$2:$E$37,MATCH($AE13,'Royal Neighbors'!$A$2:$A$37,0),IF(LOWER(TRIM($F13))="male",IF(LOWER(TRIM($K13))="yes",2,1),IF(LOWER(TRIM($K13))="yes",4,3))),_xlpm.coverage,VALUE(SUBSTITUTE(SUBSTITUTE($S13,"$",""),",","")),_xlpm.base,_xlpm.rate*(_xlpm.coverage/1000),_xlpm.fee,_xlfn.XLOOKUP("Royal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3" s="80">
        <f t="array" ref="AV13">IFERROR(_xlfn.LET(_xlpm.rate,INDEX('Royal Neighbors-Graded'!$B$2:$E$37,MATCH($AE13,'Royal Neighbors-Graded'!$A$2:$A$37,0),IF(LOWER(TRIM($F13))="male",IF(LOWER(TRIM($K13))="yes",2,1),IF(LOWER(TRIM($K13))="yes",4,3))),_xlpm.coverage,VALUE(SUBSTITUTE(SUBSTITUTE($S13,"$",""),",","")),_xlpm.base,_xlpm.rate*(_xlpm.coverage/1000),_xlpm.fee,_xlfn.XLOOKUP("Royal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3" s="80">
        <f t="array" ref="AW13">IFERROR(_xlfn.LET(_xlpm.rate,INDEX('Gerber-GI'!$B$2:$C$32,MATCH($AE13,'Gerber-GI'!$A$2:$A$32,0),IF(LOWER(TRIM($F13))="male",1,2)),_xlpm.coverage,VALUE(SUBSTITUTE(SUBSTITUTE($S13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3" s="80">
        <f t="array" ref="AX13">IFERROR(_xlfn.LET(_xlpm.rate,INDEX('Mutual of Omaha'!$B$2:$E$42,MATCH($AE13,'Mutual of Omaha'!$A$2:$A$42,0),IF(LOWER(TRIM($F13))="male",IF(LOWER(TRIM($K13))="yes",2,1),IF(LOWER(TRIM($K13))="yes",4,3))),_xlpm.coverage,VALUE(SUBSTITUTE(SUBSTITUTE($S13,"$",""),",","")),_xlpm.base,_xlpm.rate*(_xlpm.coverage/1000),_xlpm.fee,_xlfn.XLOOKUP("Mutal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3" s="80">
        <f t="array" ref="AY13">IFERROR(_xlfn.LET(_xlpm.rate,INDEX('Mutual of Omaha-Graded'!$B$2:$E$37,MATCH($AE13,'Mutual of Omaha-Graded'!$A$2:$A$37,0),IF(LOWER(TRIM($F13))="male",IF(LOWER(TRIM($K13))="yes",2,1),IF(LOWER(TRIM($K13))="yes",4,3))),_xlpm.coverage,VALUE(SUBSTITUTE(SUBSTITUTE($S13,"$",""),",","")),_xlpm.base,_xlpm.rate*(_xlpm.coverage/1000),_xlpm.fee,_xlfn.XLOOKUP("Mutual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3" s="80">
        <f>AP13</f>
        <v/>
      </c>
      <c r="BA13" s="80">
        <f>IFERROR(IF(AND(AP13&gt;0,AP13&lt;VALUE(SUBSTITUTE(SUBSTITUTE($T13,"$",""),",",""))),VALUE(SUBSTITUTE(SUBSTITUTE($T13,"$",""),",",""))-AP13,""),"")</f>
        <v/>
      </c>
      <c r="BB13" s="80">
        <f>AL13</f>
        <v/>
      </c>
      <c r="BC13" s="80">
        <f>IFERROR(IF(AND(AL13&gt;0,AL13&lt;VALUE(SUBSTITUTE(SUBSTITUTE($T13,"$",""),",",""))),VALUE(SUBSTITUTE(SUBSTITUTE($T13,"$",""),",",""))-AL13,""),"")</f>
        <v/>
      </c>
      <c r="BD13">
        <f t="array" ref="BD13">IFERROR(_xlfn.LET(_xlpm.current,VALUE(SUBSTITUTE(SUBSTITUTE($T13,"$",""),",","")),_xlpm.quotes,AF13:AY13,_xlpm.lowest,_xlfn.MINIFS(_xlpm.quotes,_xlpm.quotes,"&lt;"&amp;_xlpm.current,_xlpm.quotes,"&gt;0"),IF(_xlpm.lowest="","",SUBSTITUTE(INDEX($AF$1:$AY$1,1,MATCH(_xlpm.lowest,_xlpm.quotes,0))," Monthly Quote",""))),"")</f>
        <v/>
      </c>
      <c r="BE13" s="80">
        <f t="array" ref="BE13">IFERROR(_xlfn.LET(_xlpm.current,VALUE(SUBSTITUTE(SUBSTITUTE($T13,"$",""),",","")),_xlpm.quotes,AF13:AY13,_xlpm.lowest,_xlfn.MINIFS(_xlpm.quotes,_xlpm.quotes,"&lt;"&amp;_xlpm.current,_xlpm.quotes,"&gt;0"),IF(_xlpm.lowest="","",_xlpm.current-_xlpm.lowest)),"")</f>
        <v/>
      </c>
    </row>
    <row r="14">
      <c r="A14" s="68" t="n">
        <v>5105205034</v>
      </c>
      <c r="B14" s="68" t="n"/>
      <c r="C14" s="68" t="n">
        <v>9038736341</v>
      </c>
      <c r="D14" s="68" t="n">
        <v>83</v>
      </c>
      <c r="E14" s="69" t="n">
        <v>15485</v>
      </c>
      <c r="F14" s="67" t="inlineStr">
        <is>
          <t>Female</t>
        </is>
      </c>
      <c r="G14" s="67" t="inlineStr">
        <is>
          <t>501 Burnett St Wills Point, TX 75169, USA</t>
        </is>
      </c>
      <c r="H14" s="67" t="inlineStr">
        <is>
          <t>IL</t>
        </is>
      </c>
      <c r="I14" s="68" t="n">
        <v>5.5</v>
      </c>
      <c r="J14" s="68" t="n">
        <v>100</v>
      </c>
      <c r="K14" s="67" t="inlineStr">
        <is>
          <t>No</t>
        </is>
      </c>
      <c r="L14" s="67" t="inlineStr">
        <is>
          <t>NA</t>
        </is>
      </c>
      <c r="M14" s="67" t="inlineStr">
        <is>
          <t>Cremation</t>
        </is>
      </c>
      <c r="N14" s="67" t="inlineStr">
        <is>
          <t>Nancy Haraldson ( 05/24/1942 )</t>
        </is>
      </c>
      <c r="O14" s="67" t="inlineStr">
        <is>
          <t>Sister</t>
        </is>
      </c>
      <c r="P14" s="67" t="inlineStr">
        <is>
          <t>NA</t>
        </is>
      </c>
      <c r="Q14" s="67" t="inlineStr">
        <is>
          <t>NA</t>
        </is>
      </c>
      <c r="R14" s="67" t="inlineStr">
        <is>
          <t>SBLI</t>
        </is>
      </c>
      <c r="S14" s="70" t="n">
        <v>2500</v>
      </c>
      <c r="T14" s="68" t="n">
        <v>41.31</v>
      </c>
      <c r="U14" s="69" t="n">
        <v>46001</v>
      </c>
      <c r="V14" s="69" t="n">
        <v>46032</v>
      </c>
      <c r="W14" s="68" t="n">
        <v>326344214</v>
      </c>
      <c r="X14" s="67" t="inlineStr">
        <is>
          <t>12592017 EXP 05/24/2027</t>
        </is>
      </c>
      <c r="Y14" s="67" t="inlineStr">
        <is>
          <t>American National Bank</t>
        </is>
      </c>
      <c r="Z14" s="68" t="n">
        <v>111901519</v>
      </c>
      <c r="AA14" s="68" t="n">
        <v>5105205034</v>
      </c>
      <c r="AB14" s="67" t="inlineStr">
        <is>
          <t>Thyroid / High Blood Pressure</t>
        </is>
      </c>
      <c r="AC14" s="67" t="inlineStr">
        <is>
          <t>Levothyroxine Irbesartan Metoprolol</t>
        </is>
      </c>
      <c r="AD14" s="67" t="inlineStr">
        <is>
          <t>Dailey Jimmy W MD</t>
        </is>
      </c>
      <c r="AE14" s="68" t="n">
        <v>84</v>
      </c>
      <c r="AF14" s="80">
        <f t="array" ref="AF14">IFERROR(_xlfn.LET(_xlpm.rate,INDEX(aflac!$B$2:$E$37,MATCH($AE14,aflac!$A$2:$A$37,0),IF(LOWER(TRIM($F14))="male",IF(LOWER(TRIM($K14))="yes",2,1),IF(LOWER(TRIM($K14))="yes",4,3))),_xlpm.coverage,VALUE(SUBSTITUTE(SUBSTITUTE($S14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4" s="80">
        <f t="array" ref="AG14">IFERROR(_xlfn.LET(_xlpm.rate,INDEX('aflac-modified'!$B$2:$C$32,MATCH($AE14,'aflac-modified'!$A$2:$A$32,0),IF(LOWER(TRIM($F14))="male",1,2)),_xlpm.coverage,VALUE(SUBSTITUTE(SUBSTITUTE($S14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4" s="80">
        <f t="array" ref="AH14">IFERROR(_xlfn.LET(_xlpm.rate,INDEX(SBLI!$B$2:$E$37,MATCH($AE14,SBLI!$A$2:$A$37,0),IF(LOWER(TRIM($F14))="male",IF(LOWER(TRIM($K14))="yes",2,1),IF(LOWER(TRIM($K14))="yes",4,3))),_xlpm.coverage,VALUE(SUBSTITUTE(SUBSTITUTE($S14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4" s="80">
        <f t="array" ref="AI14">IFERROR(_xlfn.LET(_xlpm.rate,INDEX('SBLI-Modified'!$B$2:$E$27,MATCH($AE14,'SBLI-Modified'!$A$2:$A$27,0),IF(LOWER(TRIM($F14))="male",IF(LOWER(TRIM($K14))="yes",2,1),IF(LOWER(TRIM($K14))="yes",4,3))),_xlpm.coverage,VALUE(SUBSTITUTE(SUBSTITUTE($S14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4" s="80">
        <f t="array" ref="AJ14">IFERROR(_xlfn.LET(_xlpm.rate,INDEX(CICA!$B$2:$C$42,MATCH($AE14,CICA!$A$2:$A$42,0),IF(LOWER(TRIM($F14))="male",1,2)),_xlpm.coverage,VALUE(SUBSTITUTE(SUBSTITUTE($S14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4" s="80">
        <f t="array" ref="AK14">IFERROR(_xlfn.LET(_xlpm.rate,INDEX('CICA-GI'!$B$2:$C$47,MATCH($AE14,'CICA-GI'!$A$2:$A$47,0),IF(LOWER(TRIM($F14))="male",1,2)),_xlpm.coverage,VALUE(SUBSTITUTE(SUBSTITUTE($S14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4" s="80">
        <f t="array" ref="AL14">IFERROR(_xlfn.LET(_xlpm.rate,INDEX(gtl!$B$2:$C$52,MATCH($AE14,gtl!$A$2:$A$52,0),IF(LOWER(TRIM($F14))="male",1,2)),_xlpm.coverage,VALUE(SUBSTITUTE(SUBSTITUTE($S14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4" s="80">
        <f t="array" ref="AM14">IFERROR(_xlfn.LET(_xlpm.rate,INDEX(TransAmerica!$B$2:$E$69,MATCH($AE14,TransAmerica!$A$2:$A$69,0),IF(LOWER(TRIM($F14))="male",IF(LOWER(TRIM($K14))="yes",2,1),IF(LOWER(TRIM($K14))="yes",4,3))),_xlpm.coverage,VALUE(SUBSTITUTE(SUBSTITUTE($S14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4" s="80">
        <f t="array" ref="AN14">IFERROR(_xlfn.LET(_xlpm.rate,INDEX('TransAmerica Graded'!$B$2:$E$64,MATCH($AE14,'TransAmerica Graded'!$A$2:$A$64,0),IF(LOWER(TRIM($F14))="male",IF(LOWER(TRIM($K14))="yes",2,1),IF(LOWER(TRIM($K14))="yes",4,3))),_xlpm.coverage,VALUE(SUBSTITUTE(SUBSTITUTE($S14,"$",""),",","")),_xlpm.base,_xlpm.rate*(_xlpm.coverage/1000),_xlpm.fee,_xlfn.XLOOKUP("TransAmerica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4" s="80">
        <f t="array" ref="AO14">IFERROR(_xlfn.LET(_xlpm.rate,INDEX(Corebridge!$B$2:$C$32,MATCH($AE14,Corebridge!$A$2:$A$32,0),IF(LOWER(TRIM($F14))="male",1,2)),_xlpm.coverage,VALUE(SUBSTITUTE(SUBSTITUTE($S14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4" s="80">
        <f t="array" ref="AP14">IFERROR(_xlfn.LET(_xlpm.rate,INDEX(amam!$B$2:$E$37,MATCH($AE14,amam!$A$2:$A$37,0),IF(LOWER(TRIM($F14))="male",IF(LOWER(TRIM($K14))="yes",2,1),IF(LOWER(TRIM($K14))="yes",4,3))),_xlpm.coverage,VALUE(SUBSTITUTE(SUBSTITUTE($S14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4" s="80">
        <f t="array" ref="AQ14">IFERROR(_xlfn.LET(_xlpm.rate,INDEX('amam-graded'!$B$2:$E$37,MATCH($AE14,'amam-graded'!$A$2:$A$37,0),IF(LOWER(TRIM($F14))="male",IF(LOWER(TRIM($K14))="yes",2,1),IF(LOWER(TRIM($K14))="yes",4,3))),_xlpm.coverage,VALUE(SUBSTITUTE(SUBSTITUTE($S14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4" s="80">
        <f t="array" ref="AR14">IFERROR(_xlfn.LET(_xlpm.rate,INDEX('amam-return-or-premium'!$B$2:$E$37,MATCH($AE14,'amam-return-or-premium'!$A$2:$A$37,0),IF(LOWER(TRIM($F14))="male",IF(LOWER(TRIM($K14))="yes",2,1),IF(LOWER(TRIM($K14))="yes",4,3))),_xlpm.coverage,VALUE(SUBSTITUTE(SUBSTITUTE($S14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4" s="80">
        <f t="array" ref="AS14">IFERROR(_xlfn.LET(_xlpm.rate,INDEX(AHL!$B$2:$E$37,MATCH($AE14,AHL!$A$2:$A$37,0),IF(LOWER(TRIM($F14))="male",IF(LOWER(TRIM($K14))="yes",2,1),IF(LOWER(TRIM($K14))="yes",4,3))),_xlpm.coverage,VALUE(SUBSTITUTE(SUBSTITUTE($S14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4" s="80">
        <f t="array" ref="AT14">IFERROR(_xlfn.LET(_xlpm.rate,INDEX('AHL-Graded'!$B$2:$E$32,MATCH($AE14,'AHL-Graded'!$A$2:$A$32,0),IF(LOWER(TRIM($F14))="male",IF(LOWER(TRIM($K14))="yes",2,1),IF(LOWER(TRIM($K14))="yes",4,3))),_xlpm.coverage,VALUE(SUBSTITUTE(SUBSTITUTE($S14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4" s="80">
        <f t="array" ref="AU14">IFERROR(_xlfn.LET(_xlpm.rate,INDEX('Royal Neighbors'!$B$2:$E$37,MATCH($AE14,'Royal Neighbors'!$A$2:$A$37,0),IF(LOWER(TRIM($F14))="male",IF(LOWER(TRIM($K14))="yes",2,1),IF(LOWER(TRIM($K14))="yes",4,3))),_xlpm.coverage,VALUE(SUBSTITUTE(SUBSTITUTE($S14,"$",""),",","")),_xlpm.base,_xlpm.rate*(_xlpm.coverage/1000),_xlpm.fee,_xlfn.XLOOKUP("Royal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4" s="80">
        <f t="array" ref="AV14">IFERROR(_xlfn.LET(_xlpm.rate,INDEX('Royal Neighbors-Graded'!$B$2:$E$37,MATCH($AE14,'Royal Neighbors-Graded'!$A$2:$A$37,0),IF(LOWER(TRIM($F14))="male",IF(LOWER(TRIM($K14))="yes",2,1),IF(LOWER(TRIM($K14))="yes",4,3))),_xlpm.coverage,VALUE(SUBSTITUTE(SUBSTITUTE($S14,"$",""),",","")),_xlpm.base,_xlpm.rate*(_xlpm.coverage/1000),_xlpm.fee,_xlfn.XLOOKUP("Royal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4" s="80">
        <f t="array" ref="AW14">IFERROR(_xlfn.LET(_xlpm.rate,INDEX('Gerber-GI'!$B$2:$C$32,MATCH($AE14,'Gerber-GI'!$A$2:$A$32,0),IF(LOWER(TRIM($F14))="male",1,2)),_xlpm.coverage,VALUE(SUBSTITUTE(SUBSTITUTE($S14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4" s="80">
        <f t="array" ref="AX14">IFERROR(_xlfn.LET(_xlpm.rate,INDEX('Mutual of Omaha'!$B$2:$E$42,MATCH($AE14,'Mutual of Omaha'!$A$2:$A$42,0),IF(LOWER(TRIM($F14))="male",IF(LOWER(TRIM($K14))="yes",2,1),IF(LOWER(TRIM($K14))="yes",4,3))),_xlpm.coverage,VALUE(SUBSTITUTE(SUBSTITUTE($S14,"$",""),",","")),_xlpm.base,_xlpm.rate*(_xlpm.coverage/1000),_xlpm.fee,_xlfn.XLOOKUP("Mutal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4" s="80">
        <f t="array" ref="AY14">IFERROR(_xlfn.LET(_xlpm.rate,INDEX('Mutual of Omaha-Graded'!$B$2:$E$37,MATCH($AE14,'Mutual of Omaha-Graded'!$A$2:$A$37,0),IF(LOWER(TRIM($F14))="male",IF(LOWER(TRIM($K14))="yes",2,1),IF(LOWER(TRIM($K14))="yes",4,3))),_xlpm.coverage,VALUE(SUBSTITUTE(SUBSTITUTE($S14,"$",""),",","")),_xlpm.base,_xlpm.rate*(_xlpm.coverage/1000),_xlpm.fee,_xlfn.XLOOKUP("Mutual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4" s="80">
        <f>AP14</f>
        <v/>
      </c>
      <c r="BA14" s="80">
        <f>IFERROR(IF(AND(AP14&gt;0,AP14&lt;VALUE(SUBSTITUTE(SUBSTITUTE($T14,"$",""),",",""))),VALUE(SUBSTITUTE(SUBSTITUTE($T14,"$",""),",",""))-AP14,""),"")</f>
        <v/>
      </c>
      <c r="BB14" s="80">
        <f>AL14</f>
        <v/>
      </c>
      <c r="BC14" s="80">
        <f>IFERROR(IF(AND(AL14&gt;0,AL14&lt;VALUE(SUBSTITUTE(SUBSTITUTE($T14,"$",""),",",""))),VALUE(SUBSTITUTE(SUBSTITUTE($T14,"$",""),",",""))-AL14,""),"")</f>
        <v/>
      </c>
      <c r="BD14">
        <f t="array" ref="BD14">IFERROR(_xlfn.LET(_xlpm.current,VALUE(SUBSTITUTE(SUBSTITUTE($T14,"$",""),",","")),_xlpm.quotes,AF14:AY14,_xlpm.lowest,_xlfn.MINIFS(_xlpm.quotes,_xlpm.quotes,"&lt;"&amp;_xlpm.current,_xlpm.quotes,"&gt;0"),IF(_xlpm.lowest="","",SUBSTITUTE(INDEX($AF$1:$AY$1,1,MATCH(_xlpm.lowest,_xlpm.quotes,0))," Monthly Quote",""))),"")</f>
        <v/>
      </c>
      <c r="BE14" s="80">
        <f t="array" ref="BE14">IFERROR(_xlfn.LET(_xlpm.current,VALUE(SUBSTITUTE(SUBSTITUTE($T14,"$",""),",","")),_xlpm.quotes,AF14:AY14,_xlpm.lowest,_xlfn.MINIFS(_xlpm.quotes,_xlpm.quotes,"&lt;"&amp;_xlpm.current,_xlpm.quotes,"&gt;0"),IF(_xlpm.lowest="","",_xlpm.current-_xlpm.lowest)),"")</f>
        <v/>
      </c>
    </row>
    <row r="15">
      <c r="A15" s="67" t="inlineStr">
        <is>
          <t>Idonia M</t>
        </is>
      </c>
      <c r="B15" s="67" t="inlineStr">
        <is>
          <t>Butler</t>
        </is>
      </c>
      <c r="C15" s="68" t="n">
        <v>9122361655</v>
      </c>
      <c r="D15" s="68" t="n">
        <v>83</v>
      </c>
      <c r="E15" s="69" t="n">
        <v>15513</v>
      </c>
      <c r="F15" s="67" t="inlineStr">
        <is>
          <t>Female</t>
        </is>
      </c>
      <c r="G15" s="67" t="inlineStr">
        <is>
          <t>629 E 36th St Savannah, GA 31401</t>
        </is>
      </c>
      <c r="H15" s="67" t="inlineStr">
        <is>
          <t>GA</t>
        </is>
      </c>
      <c r="I15" s="68" t="n">
        <v>5.3</v>
      </c>
      <c r="J15" s="68" t="n">
        <v>115</v>
      </c>
      <c r="K15" s="67" t="inlineStr">
        <is>
          <t>No</t>
        </is>
      </c>
      <c r="L15" s="67" t="inlineStr">
        <is>
          <t>NA</t>
        </is>
      </c>
      <c r="M15" s="67" t="inlineStr">
        <is>
          <t>Cremation</t>
        </is>
      </c>
      <c r="N15" s="67" t="inlineStr">
        <is>
          <t>James E Butler: 07/22/1972</t>
        </is>
      </c>
      <c r="O15" s="67" t="inlineStr">
        <is>
          <t>Son</t>
        </is>
      </c>
      <c r="P15" s="67" t="inlineStr">
        <is>
          <t>NA</t>
        </is>
      </c>
      <c r="Q15" s="67" t="inlineStr">
        <is>
          <t>NA</t>
        </is>
      </c>
      <c r="R15" s="67" t="inlineStr">
        <is>
          <t>Royal Neighbour OF America</t>
        </is>
      </c>
      <c r="S15" s="70" t="n">
        <v>5000</v>
      </c>
      <c r="T15" s="68" t="n">
        <v>75.75</v>
      </c>
      <c r="U15" s="69" t="n">
        <v>45994</v>
      </c>
      <c r="V15" s="69" t="n">
        <v>46025</v>
      </c>
      <c r="W15" s="68" t="n">
        <v>692621996</v>
      </c>
      <c r="X15" s="67" t="inlineStr">
        <is>
          <t>Drive: 059530928 Exp: 06/21/2033</t>
        </is>
      </c>
      <c r="Y15" s="67" t="inlineStr">
        <is>
          <t>WELLS FARGO BANK</t>
        </is>
      </c>
      <c r="Z15" s="68" t="n">
        <v>121000248</v>
      </c>
      <c r="AA15" s="68" t="n">
        <v>5465679776</v>
      </c>
      <c r="AB15" s="67" t="inlineStr">
        <is>
          <t>Blood Pressure , Cholestrol</t>
        </is>
      </c>
      <c r="AC15" s="67" t="inlineStr">
        <is>
          <t>Licinopril, Rouvastatin</t>
        </is>
      </c>
      <c r="AD15" s="67" t="inlineStr">
        <is>
          <t>Dr Lorraine McRae</t>
        </is>
      </c>
      <c r="AE15" s="68" t="n">
        <v>84</v>
      </c>
      <c r="AF15" s="80">
        <f t="array" ref="AF15">IFERROR(_xlfn.LET(_xlpm.rate,INDEX(aflac!$B$2:$E$37,MATCH($AE15,aflac!$A$2:$A$37,0),IF(LOWER(TRIM($F15))="male",IF(LOWER(TRIM($K15))="yes",2,1),IF(LOWER(TRIM($K15))="yes",4,3))),_xlpm.coverage,VALUE(SUBSTITUTE(SUBSTITUTE($S15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5" s="80">
        <f t="array" ref="AG15">IFERROR(_xlfn.LET(_xlpm.rate,INDEX('aflac-modified'!$B$2:$C$32,MATCH($AE15,'aflac-modified'!$A$2:$A$32,0),IF(LOWER(TRIM($F15))="male",1,2)),_xlpm.coverage,VALUE(SUBSTITUTE(SUBSTITUTE($S15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5" s="80">
        <f t="array" ref="AH15">IFERROR(_xlfn.LET(_xlpm.rate,INDEX(SBLI!$B$2:$E$37,MATCH($AE15,SBLI!$A$2:$A$37,0),IF(LOWER(TRIM($F15))="male",IF(LOWER(TRIM($K15))="yes",2,1),IF(LOWER(TRIM($K15))="yes",4,3))),_xlpm.coverage,VALUE(SUBSTITUTE(SUBSTITUTE($S15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5" s="80">
        <f t="array" ref="AI15">IFERROR(_xlfn.LET(_xlpm.rate,INDEX('SBLI-Modified'!$B$2:$E$27,MATCH($AE15,'SBLI-Modified'!$A$2:$A$27,0),IF(LOWER(TRIM($F15))="male",IF(LOWER(TRIM($K15))="yes",2,1),IF(LOWER(TRIM($K15))="yes",4,3))),_xlpm.coverage,VALUE(SUBSTITUTE(SUBSTITUTE($S15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5" s="80">
        <f t="array" ref="AJ15">IFERROR(_xlfn.LET(_xlpm.rate,INDEX(CICA!$B$2:$C$42,MATCH($AE15,CICA!$A$2:$A$42,0),IF(LOWER(TRIM($F15))="male",1,2)),_xlpm.coverage,VALUE(SUBSTITUTE(SUBSTITUTE($S15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5" s="80">
        <f t="array" ref="AK15">IFERROR(_xlfn.LET(_xlpm.rate,INDEX('CICA-GI'!$B$2:$C$47,MATCH($AE15,'CICA-GI'!$A$2:$A$47,0),IF(LOWER(TRIM($F15))="male",1,2)),_xlpm.coverage,VALUE(SUBSTITUTE(SUBSTITUTE($S15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5" s="80">
        <f t="array" ref="AL15">IFERROR(_xlfn.LET(_xlpm.rate,INDEX(gtl!$B$2:$C$52,MATCH($AE15,gtl!$A$2:$A$52,0),IF(LOWER(TRIM($F15))="male",1,2)),_xlpm.coverage,VALUE(SUBSTITUTE(SUBSTITUTE($S15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5" s="80">
        <f t="array" ref="AM15">IFERROR(_xlfn.LET(_xlpm.rate,INDEX(TransAmerica!$B$2:$E$69,MATCH($AE15,TransAmerica!$A$2:$A$69,0),IF(LOWER(TRIM($F15))="male",IF(LOWER(TRIM($K15))="yes",2,1),IF(LOWER(TRIM($K15))="yes",4,3))),_xlpm.coverage,VALUE(SUBSTITUTE(SUBSTITUTE($S15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5" s="80">
        <f t="array" ref="AN15">IFERROR(_xlfn.LET(_xlpm.rate,INDEX('TransAmerica Graded'!$B$2:$E$64,MATCH($AE15,'TransAmerica Graded'!$A$2:$A$64,0),IF(LOWER(TRIM($F15))="male",IF(LOWER(TRIM($K15))="yes",2,1),IF(LOWER(TRIM($K15))="yes",4,3))),_xlpm.coverage,VALUE(SUBSTITUTE(SUBSTITUTE($S15,"$",""),",","")),_xlpm.base,_xlpm.rate*(_xlpm.coverage/1000),_xlpm.fee,_xlfn.XLOOKUP("TransAmerica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5" s="80">
        <f t="array" ref="AO15">IFERROR(_xlfn.LET(_xlpm.rate,INDEX(Corebridge!$B$2:$C$32,MATCH($AE15,Corebridge!$A$2:$A$32,0),IF(LOWER(TRIM($F15))="male",1,2)),_xlpm.coverage,VALUE(SUBSTITUTE(SUBSTITUTE($S15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5" s="80">
        <f t="array" ref="AP15">IFERROR(_xlfn.LET(_xlpm.rate,INDEX(amam!$B$2:$E$37,MATCH($AE15,amam!$A$2:$A$37,0),IF(LOWER(TRIM($F15))="male",IF(LOWER(TRIM($K15))="yes",2,1),IF(LOWER(TRIM($K15))="yes",4,3))),_xlpm.coverage,VALUE(SUBSTITUTE(SUBSTITUTE($S15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5" s="80">
        <f t="array" ref="AQ15">IFERROR(_xlfn.LET(_xlpm.rate,INDEX('amam-graded'!$B$2:$E$37,MATCH($AE15,'amam-graded'!$A$2:$A$37,0),IF(LOWER(TRIM($F15))="male",IF(LOWER(TRIM($K15))="yes",2,1),IF(LOWER(TRIM($K15))="yes",4,3))),_xlpm.coverage,VALUE(SUBSTITUTE(SUBSTITUTE($S15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5" s="80">
        <f t="array" ref="AR15">IFERROR(_xlfn.LET(_xlpm.rate,INDEX('amam-return-or-premium'!$B$2:$E$37,MATCH($AE15,'amam-return-or-premium'!$A$2:$A$37,0),IF(LOWER(TRIM($F15))="male",IF(LOWER(TRIM($K15))="yes",2,1),IF(LOWER(TRIM($K15))="yes",4,3))),_xlpm.coverage,VALUE(SUBSTITUTE(SUBSTITUTE($S15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5" s="80">
        <f t="array" ref="AS15">IFERROR(_xlfn.LET(_xlpm.rate,INDEX(AHL!$B$2:$E$37,MATCH($AE15,AHL!$A$2:$A$37,0),IF(LOWER(TRIM($F15))="male",IF(LOWER(TRIM($K15))="yes",2,1),IF(LOWER(TRIM($K15))="yes",4,3))),_xlpm.coverage,VALUE(SUBSTITUTE(SUBSTITUTE($S15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5" s="80">
        <f t="array" ref="AT15">IFERROR(_xlfn.LET(_xlpm.rate,INDEX('AHL-Graded'!$B$2:$E$32,MATCH($AE15,'AHL-Graded'!$A$2:$A$32,0),IF(LOWER(TRIM($F15))="male",IF(LOWER(TRIM($K15))="yes",2,1),IF(LOWER(TRIM($K15))="yes",4,3))),_xlpm.coverage,VALUE(SUBSTITUTE(SUBSTITUTE($S15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5" s="80">
        <f t="array" ref="AU15">IFERROR(_xlfn.LET(_xlpm.rate,INDEX('Royal Neighbors'!$B$2:$E$37,MATCH($AE15,'Royal Neighbors'!$A$2:$A$37,0),IF(LOWER(TRIM($F15))="male",IF(LOWER(TRIM($K15))="yes",2,1),IF(LOWER(TRIM($K15))="yes",4,3))),_xlpm.coverage,VALUE(SUBSTITUTE(SUBSTITUTE($S15,"$",""),",","")),_xlpm.base,_xlpm.rate*(_xlpm.coverage/1000),_xlpm.fee,_xlfn.XLOOKUP("Royal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5" s="80">
        <f t="array" ref="AV15">IFERROR(_xlfn.LET(_xlpm.rate,INDEX('Royal Neighbors-Graded'!$B$2:$E$37,MATCH($AE15,'Royal Neighbors-Graded'!$A$2:$A$37,0),IF(LOWER(TRIM($F15))="male",IF(LOWER(TRIM($K15))="yes",2,1),IF(LOWER(TRIM($K15))="yes",4,3))),_xlpm.coverage,VALUE(SUBSTITUTE(SUBSTITUTE($S15,"$",""),",","")),_xlpm.base,_xlpm.rate*(_xlpm.coverage/1000),_xlpm.fee,_xlfn.XLOOKUP("Royal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5" s="80">
        <f t="array" ref="AW15">IFERROR(_xlfn.LET(_xlpm.rate,INDEX('Gerber-GI'!$B$2:$C$32,MATCH($AE15,'Gerber-GI'!$A$2:$A$32,0),IF(LOWER(TRIM($F15))="male",1,2)),_xlpm.coverage,VALUE(SUBSTITUTE(SUBSTITUTE($S15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5" s="80">
        <f t="array" ref="AX15">IFERROR(_xlfn.LET(_xlpm.rate,INDEX('Mutual of Omaha'!$B$2:$E$42,MATCH($AE15,'Mutual of Omaha'!$A$2:$A$42,0),IF(LOWER(TRIM($F15))="male",IF(LOWER(TRIM($K15))="yes",2,1),IF(LOWER(TRIM($K15))="yes",4,3))),_xlpm.coverage,VALUE(SUBSTITUTE(SUBSTITUTE($S15,"$",""),",","")),_xlpm.base,_xlpm.rate*(_xlpm.coverage/1000),_xlpm.fee,_xlfn.XLOOKUP("Mutal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5" s="80">
        <f t="array" ref="AY15">IFERROR(_xlfn.LET(_xlpm.rate,INDEX('Mutual of Omaha-Graded'!$B$2:$E$37,MATCH($AE15,'Mutual of Omaha-Graded'!$A$2:$A$37,0),IF(LOWER(TRIM($F15))="male",IF(LOWER(TRIM($K15))="yes",2,1),IF(LOWER(TRIM($K15))="yes",4,3))),_xlpm.coverage,VALUE(SUBSTITUTE(SUBSTITUTE($S15,"$",""),",","")),_xlpm.base,_xlpm.rate*(_xlpm.coverage/1000),_xlpm.fee,_xlfn.XLOOKUP("Mutual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5" s="80">
        <f>AP15</f>
        <v/>
      </c>
      <c r="BA15" s="80">
        <f>IFERROR(IF(AND(AP15&gt;0,AP15&lt;VALUE(SUBSTITUTE(SUBSTITUTE($T15,"$",""),",",""))),VALUE(SUBSTITUTE(SUBSTITUTE($T15,"$",""),",",""))-AP15,""),"")</f>
        <v/>
      </c>
      <c r="BB15" s="80">
        <f>AL15</f>
        <v/>
      </c>
      <c r="BC15" s="80">
        <f>IFERROR(IF(AND(AL15&gt;0,AL15&lt;VALUE(SUBSTITUTE(SUBSTITUTE($T15,"$",""),",",""))),VALUE(SUBSTITUTE(SUBSTITUTE($T15,"$",""),",",""))-AL15,""),"")</f>
        <v/>
      </c>
      <c r="BD15">
        <f t="array" ref="BD15">IFERROR(_xlfn.LET(_xlpm.current,VALUE(SUBSTITUTE(SUBSTITUTE($T15,"$",""),",","")),_xlpm.quotes,AF15:AY15,_xlpm.lowest,_xlfn.MINIFS(_xlpm.quotes,_xlpm.quotes,"&lt;"&amp;_xlpm.current,_xlpm.quotes,"&gt;0"),IF(_xlpm.lowest="","",SUBSTITUTE(INDEX($AF$1:$AY$1,1,MATCH(_xlpm.lowest,_xlpm.quotes,0))," Monthly Quote",""))),"")</f>
        <v/>
      </c>
      <c r="BE15" s="80">
        <f t="array" ref="BE15">IFERROR(_xlfn.LET(_xlpm.current,VALUE(SUBSTITUTE(SUBSTITUTE($T15,"$",""),",","")),_xlpm.quotes,AF15:AY15,_xlpm.lowest,_xlfn.MINIFS(_xlpm.quotes,_xlpm.quotes,"&lt;"&amp;_xlpm.current,_xlpm.quotes,"&gt;0"),IF(_xlpm.lowest="","",_xlpm.current-_xlpm.lowest)),"")</f>
        <v/>
      </c>
    </row>
    <row r="16">
      <c r="A16" s="63" t="inlineStr">
        <is>
          <t>Raymond A</t>
        </is>
      </c>
      <c r="B16" s="63" t="inlineStr">
        <is>
          <t>McNaulty</t>
        </is>
      </c>
      <c r="C16" s="64" t="n">
        <v>8022233886</v>
      </c>
      <c r="D16" s="64" t="n">
        <v>64</v>
      </c>
      <c r="E16" s="65" t="n">
        <v>22481</v>
      </c>
      <c r="F16" s="63" t="inlineStr">
        <is>
          <t>Male</t>
        </is>
      </c>
      <c r="G16" s="63" t="inlineStr">
        <is>
          <t>266 Eagle Ledge Rd, Worcester, VT 05682</t>
        </is>
      </c>
      <c r="H16" s="63" t="inlineStr">
        <is>
          <t>VT</t>
        </is>
      </c>
      <c r="I16" s="64" t="n">
        <v>5.8</v>
      </c>
      <c r="J16" s="64" t="n">
        <v>270</v>
      </c>
      <c r="K16" s="63" t="inlineStr">
        <is>
          <t>Yes</t>
        </is>
      </c>
      <c r="L16" s="63" t="n"/>
      <c r="M16" s="63" t="inlineStr">
        <is>
          <t>Burial</t>
        </is>
      </c>
      <c r="N16" s="63" t="inlineStr">
        <is>
          <t>Marla Lowrey (11 20 1963)</t>
        </is>
      </c>
      <c r="O16" s="63" t="inlineStr">
        <is>
          <t>Cousin</t>
        </is>
      </c>
      <c r="P16" s="63" t="n"/>
      <c r="Q16" s="63" t="n"/>
      <c r="R16" s="63" t="inlineStr">
        <is>
          <t>RNA Standard</t>
        </is>
      </c>
      <c r="S16" s="66" t="n">
        <v>6000</v>
      </c>
      <c r="T16" s="64" t="n">
        <v>56.25</v>
      </c>
      <c r="U16" s="65" t="n">
        <v>45994</v>
      </c>
      <c r="V16" s="65" t="n">
        <v>46025</v>
      </c>
      <c r="W16" s="64" t="n">
        <v>9586822</v>
      </c>
      <c r="X16" s="63" t="inlineStr">
        <is>
          <t>Nil</t>
        </is>
      </c>
      <c r="Y16" s="63" t="inlineStr">
        <is>
          <t>EastRise Credit Union</t>
        </is>
      </c>
      <c r="Z16" s="64" t="n">
        <v>211691127</v>
      </c>
      <c r="AA16" s="64" t="n">
        <v>104814776</v>
      </c>
      <c r="AB16" s="63" t="inlineStr">
        <is>
          <t>Pace Maker 2 years ago</t>
        </is>
      </c>
      <c r="AC16" s="63" t="inlineStr">
        <is>
          <t>Pace Maker, HBP</t>
        </is>
      </c>
      <c r="AD16" s="63" t="inlineStr">
        <is>
          <t>N/A</t>
        </is>
      </c>
      <c r="AE16" s="64" t="n">
        <v>64</v>
      </c>
      <c r="AF16" s="80">
        <f t="array" ref="AF16">IFERROR(_xlfn.LET(_xlpm.rate,INDEX(aflac!$B$2:$E$37,MATCH($AE16,aflac!$A$2:$A$37,0),IF(LOWER(TRIM($F16))="male",IF(LOWER(TRIM($K16))="yes",2,1),IF(LOWER(TRIM($K16))="yes",4,3))),_xlpm.coverage,VALUE(SUBSTITUTE(SUBSTITUTE($S16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6" s="80">
        <f t="array" ref="AG16">IFERROR(_xlfn.LET(_xlpm.rate,INDEX('aflac-modified'!$B$2:$C$32,MATCH($AE16,'aflac-modified'!$A$2:$A$32,0),IF(LOWER(TRIM($F16))="male",1,2)),_xlpm.coverage,VALUE(SUBSTITUTE(SUBSTITUTE($S16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6" s="80">
        <f t="array" ref="AH16">IFERROR(_xlfn.LET(_xlpm.rate,INDEX(SBLI!$B$2:$E$37,MATCH($AE16,SBLI!$A$2:$A$37,0),IF(LOWER(TRIM($F16))="male",IF(LOWER(TRIM($K16))="yes",2,1),IF(LOWER(TRIM($K16))="yes",4,3))),_xlpm.coverage,VALUE(SUBSTITUTE(SUBSTITUTE($S16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6" s="80">
        <f t="array" ref="AI16">IFERROR(_xlfn.LET(_xlpm.rate,INDEX('SBLI-Modified'!$B$2:$E$27,MATCH($AE16,'SBLI-Modified'!$A$2:$A$27,0),IF(LOWER(TRIM($F16))="male",IF(LOWER(TRIM($K16))="yes",2,1),IF(LOWER(TRIM($K16))="yes",4,3))),_xlpm.coverage,VALUE(SUBSTITUTE(SUBSTITUTE($S16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6" s="80">
        <f t="array" ref="AJ16">IFERROR(_xlfn.LET(_xlpm.rate,INDEX(CICA!$B$2:$C$42,MATCH($AE16,CICA!$A$2:$A$42,0),IF(LOWER(TRIM($F16))="male",1,2)),_xlpm.coverage,VALUE(SUBSTITUTE(SUBSTITUTE($S16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6" s="80">
        <f t="array" ref="AK16">IFERROR(_xlfn.LET(_xlpm.rate,INDEX('CICA-GI'!$B$2:$C$47,MATCH($AE16,'CICA-GI'!$A$2:$A$47,0),IF(LOWER(TRIM($F16))="male",1,2)),_xlpm.coverage,VALUE(SUBSTITUTE(SUBSTITUTE($S16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6" s="80">
        <f t="array" ref="AL16">IFERROR(_xlfn.LET(_xlpm.rate,INDEX(gtl!$B$2:$C$52,MATCH($AE16,gtl!$A$2:$A$52,0),IF(LOWER(TRIM($F16))="male",1,2)),_xlpm.coverage,VALUE(SUBSTITUTE(SUBSTITUTE($S16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6" s="80">
        <f t="array" ref="AM16">IFERROR(_xlfn.LET(_xlpm.rate,INDEX(TransAmerica!$B$2:$E$69,MATCH($AE16,TransAmerica!$A$2:$A$69,0),IF(LOWER(TRIM($F16))="male",IF(LOWER(TRIM($K16))="yes",2,1),IF(LOWER(TRIM($K16))="yes",4,3))),_xlpm.coverage,VALUE(SUBSTITUTE(SUBSTITUTE($S16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6" s="80">
        <f t="array" ref="AN16">IFERROR(_xlfn.LET(_xlpm.rate,INDEX('TransAmerica Graded'!$B$2:$E$64,MATCH($AE16,'TransAmerica Graded'!$A$2:$A$64,0),IF(LOWER(TRIM($F16))="male",IF(LOWER(TRIM($K16))="yes",2,1),IF(LOWER(TRIM($K16))="yes",4,3))),_xlpm.coverage,VALUE(SUBSTITUTE(SUBSTITUTE($S16,"$",""),",","")),_xlpm.base,_xlpm.rate*(_xlpm.coverage/1000),_xlpm.fee,_xlfn.XLOOKUP("TransAmerica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6" s="80">
        <f t="array" ref="AO16">IFERROR(_xlfn.LET(_xlpm.rate,INDEX(Corebridge!$B$2:$C$32,MATCH($AE16,Corebridge!$A$2:$A$32,0),IF(LOWER(TRIM($F16))="male",1,2)),_xlpm.coverage,VALUE(SUBSTITUTE(SUBSTITUTE($S16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6" s="80">
        <f t="array" ref="AP16">IFERROR(_xlfn.LET(_xlpm.rate,INDEX(amam!$B$2:$E$37,MATCH($AE16,amam!$A$2:$A$37,0),IF(LOWER(TRIM($F16))="male",IF(LOWER(TRIM($K16))="yes",2,1),IF(LOWER(TRIM($K16))="yes",4,3))),_xlpm.coverage,VALUE(SUBSTITUTE(SUBSTITUTE($S16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6" s="80">
        <f t="array" ref="AQ16">IFERROR(_xlfn.LET(_xlpm.rate,INDEX('amam-graded'!$B$2:$E$37,MATCH($AE16,'amam-graded'!$A$2:$A$37,0),IF(LOWER(TRIM($F16))="male",IF(LOWER(TRIM($K16))="yes",2,1),IF(LOWER(TRIM($K16))="yes",4,3))),_xlpm.coverage,VALUE(SUBSTITUTE(SUBSTITUTE($S16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6" s="80">
        <f t="array" ref="AR16">IFERROR(_xlfn.LET(_xlpm.rate,INDEX('amam-return-or-premium'!$B$2:$E$37,MATCH($AE16,'amam-return-or-premium'!$A$2:$A$37,0),IF(LOWER(TRIM($F16))="male",IF(LOWER(TRIM($K16))="yes",2,1),IF(LOWER(TRIM($K16))="yes",4,3))),_xlpm.coverage,VALUE(SUBSTITUTE(SUBSTITUTE($S16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6" s="80">
        <f t="array" ref="AS16">IFERROR(_xlfn.LET(_xlpm.rate,INDEX(AHL!$B$2:$E$37,MATCH($AE16,AHL!$A$2:$A$37,0),IF(LOWER(TRIM($F16))="male",IF(LOWER(TRIM($K16))="yes",2,1),IF(LOWER(TRIM($K16))="yes",4,3))),_xlpm.coverage,VALUE(SUBSTITUTE(SUBSTITUTE($S16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6" s="80">
        <f t="array" ref="AT16">IFERROR(_xlfn.LET(_xlpm.rate,INDEX('AHL-Graded'!$B$2:$E$32,MATCH($AE16,'AHL-Graded'!$A$2:$A$32,0),IF(LOWER(TRIM($F16))="male",IF(LOWER(TRIM($K16))="yes",2,1),IF(LOWER(TRIM($K16))="yes",4,3))),_xlpm.coverage,VALUE(SUBSTITUTE(SUBSTITUTE($S16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6" s="80">
        <f t="array" ref="AU16">IFERROR(_xlfn.LET(_xlpm.rate,INDEX('Royal Neighbors'!$B$2:$E$37,MATCH($AE16,'Royal Neighbors'!$A$2:$A$37,0),IF(LOWER(TRIM($F16))="male",IF(LOWER(TRIM($K16))="yes",2,1),IF(LOWER(TRIM($K16))="yes",4,3))),_xlpm.coverage,VALUE(SUBSTITUTE(SUBSTITUTE($S16,"$",""),",","")),_xlpm.base,_xlpm.rate*(_xlpm.coverage/1000),_xlpm.fee,_xlfn.XLOOKUP("Royal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6" s="80">
        <f t="array" ref="AV16">IFERROR(_xlfn.LET(_xlpm.rate,INDEX('Royal Neighbors-Graded'!$B$2:$E$37,MATCH($AE16,'Royal Neighbors-Graded'!$A$2:$A$37,0),IF(LOWER(TRIM($F16))="male",IF(LOWER(TRIM($K16))="yes",2,1),IF(LOWER(TRIM($K16))="yes",4,3))),_xlpm.coverage,VALUE(SUBSTITUTE(SUBSTITUTE($S16,"$",""),",","")),_xlpm.base,_xlpm.rate*(_xlpm.coverage/1000),_xlpm.fee,_xlfn.XLOOKUP("Royal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6" s="80">
        <f t="array" ref="AW16">IFERROR(_xlfn.LET(_xlpm.rate,INDEX('Gerber-GI'!$B$2:$C$32,MATCH($AE16,'Gerber-GI'!$A$2:$A$32,0),IF(LOWER(TRIM($F16))="male",1,2)),_xlpm.coverage,VALUE(SUBSTITUTE(SUBSTITUTE($S16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6" s="80">
        <f t="array" ref="AX16">IFERROR(_xlfn.LET(_xlpm.rate,INDEX('Mutual of Omaha'!$B$2:$E$42,MATCH($AE16,'Mutual of Omaha'!$A$2:$A$42,0),IF(LOWER(TRIM($F16))="male",IF(LOWER(TRIM($K16))="yes",2,1),IF(LOWER(TRIM($K16))="yes",4,3))),_xlpm.coverage,VALUE(SUBSTITUTE(SUBSTITUTE($S16,"$",""),",","")),_xlpm.base,_xlpm.rate*(_xlpm.coverage/1000),_xlpm.fee,_xlfn.XLOOKUP("Mutal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6" s="80">
        <f t="array" ref="AY16">IFERROR(_xlfn.LET(_xlpm.rate,INDEX('Mutual of Omaha-Graded'!$B$2:$E$37,MATCH($AE16,'Mutual of Omaha-Graded'!$A$2:$A$37,0),IF(LOWER(TRIM($F16))="male",IF(LOWER(TRIM($K16))="yes",2,1),IF(LOWER(TRIM($K16))="yes",4,3))),_xlpm.coverage,VALUE(SUBSTITUTE(SUBSTITUTE($S16,"$",""),",","")),_xlpm.base,_xlpm.rate*(_xlpm.coverage/1000),_xlpm.fee,_xlfn.XLOOKUP("Mutual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6" s="80">
        <f>AP16</f>
        <v/>
      </c>
      <c r="BA16" s="80">
        <f>IFERROR(IF(AND(AP16&gt;0,AP16&lt;VALUE(SUBSTITUTE(SUBSTITUTE($T16,"$",""),",",""))),VALUE(SUBSTITUTE(SUBSTITUTE($T16,"$",""),",",""))-AP16,""),"")</f>
        <v/>
      </c>
      <c r="BB16" s="80">
        <f>AL16</f>
        <v/>
      </c>
      <c r="BC16" s="80">
        <f>IFERROR(IF(AND(AL16&gt;0,AL16&lt;VALUE(SUBSTITUTE(SUBSTITUTE($T16,"$",""),",",""))),VALUE(SUBSTITUTE(SUBSTITUTE($T16,"$",""),",",""))-AL16,""),"")</f>
        <v/>
      </c>
      <c r="BD16">
        <f t="array" ref="BD16">IFERROR(_xlfn.LET(_xlpm.current,VALUE(SUBSTITUTE(SUBSTITUTE($T16,"$",""),",","")),_xlpm.quotes,AF16:AY16,_xlpm.lowest,_xlfn.MINIFS(_xlpm.quotes,_xlpm.quotes,"&lt;"&amp;_xlpm.current,_xlpm.quotes,"&gt;0"),IF(_xlpm.lowest="","",SUBSTITUTE(INDEX($AF$1:$AY$1,1,MATCH(_xlpm.lowest,_xlpm.quotes,0))," Monthly Quote",""))),"")</f>
        <v/>
      </c>
      <c r="BE16" s="80">
        <f t="array" ref="BE16">IFERROR(_xlfn.LET(_xlpm.current,VALUE(SUBSTITUTE(SUBSTITUTE($T16,"$",""),",","")),_xlpm.quotes,AF16:AY16,_xlpm.lowest,_xlfn.MINIFS(_xlpm.quotes,_xlpm.quotes,"&lt;"&amp;_xlpm.current,_xlpm.quotes,"&gt;0"),IF(_xlpm.lowest="","",_xlpm.current-_xlpm.lowest)),"")</f>
        <v/>
      </c>
    </row>
    <row r="17">
      <c r="A17" s="67" t="inlineStr">
        <is>
          <t>Rosetta M</t>
        </is>
      </c>
      <c r="B17" s="67" t="inlineStr">
        <is>
          <t>Valora</t>
        </is>
      </c>
      <c r="C17" s="68" t="n">
        <v>8564577132</v>
      </c>
      <c r="D17" s="68" t="n">
        <v>81</v>
      </c>
      <c r="E17" s="69" t="n">
        <v>16127</v>
      </c>
      <c r="F17" s="67" t="inlineStr">
        <is>
          <t>Female</t>
        </is>
      </c>
      <c r="G17" s="67" t="inlineStr">
        <is>
          <t>58 Henry Ave Pittsgrove, NJ 08318</t>
        </is>
      </c>
      <c r="H17" s="67" t="inlineStr">
        <is>
          <t>NJ</t>
        </is>
      </c>
      <c r="I17" s="67" t="inlineStr">
        <is>
          <t>5ft</t>
        </is>
      </c>
      <c r="J17" s="67" t="inlineStr">
        <is>
          <t>122lbs</t>
        </is>
      </c>
      <c r="K17" s="67" t="inlineStr">
        <is>
          <t>No</t>
        </is>
      </c>
      <c r="L17" s="67" t="n"/>
      <c r="M17" s="67" t="inlineStr">
        <is>
          <t>Burial</t>
        </is>
      </c>
      <c r="N17" s="67" t="inlineStr">
        <is>
          <t>David Valora</t>
        </is>
      </c>
      <c r="O17" s="67" t="inlineStr">
        <is>
          <t>Son</t>
        </is>
      </c>
      <c r="P17" s="67" t="n"/>
      <c r="Q17" s="67" t="n"/>
      <c r="R17" s="67" t="inlineStr">
        <is>
          <t>RNA Standard</t>
        </is>
      </c>
      <c r="S17" s="70" t="n">
        <v>5000</v>
      </c>
      <c r="T17" s="74" t="n">
        <v>67.2</v>
      </c>
      <c r="U17" s="69" t="n">
        <v>45994</v>
      </c>
      <c r="V17" s="69" t="n">
        <v>46025</v>
      </c>
      <c r="W17" s="68" t="n">
        <v>142345314</v>
      </c>
      <c r="X17" s="67" t="inlineStr">
        <is>
          <t>Nil</t>
        </is>
      </c>
      <c r="Y17" s="67" t="inlineStr">
        <is>
          <t>Rosetta M Valora</t>
        </is>
      </c>
      <c r="Z17" s="68" t="n">
        <v>211370545</v>
      </c>
      <c r="AA17" s="68" t="n">
        <v>8262861757</v>
      </c>
      <c r="AB17" s="67" t="inlineStr">
        <is>
          <t>No major health conditions</t>
        </is>
      </c>
      <c r="AC17" s="67" t="inlineStr">
        <is>
          <t>5 medications</t>
        </is>
      </c>
      <c r="AD17" s="67" t="inlineStr">
        <is>
          <t>Nil</t>
        </is>
      </c>
      <c r="AE17" s="68" t="n">
        <v>82</v>
      </c>
      <c r="AF17" s="80">
        <f t="array" ref="AF17">IFERROR(_xlfn.LET(_xlpm.rate,INDEX(aflac!$B$2:$E$37,MATCH($AE17,aflac!$A$2:$A$37,0),IF(LOWER(TRIM($F17))="male",IF(LOWER(TRIM($K17))="yes",2,1),IF(LOWER(TRIM($K17))="yes",4,3))),_xlpm.coverage,VALUE(SUBSTITUTE(SUBSTITUTE($S17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7" s="80">
        <f t="array" ref="AG17">IFERROR(_xlfn.LET(_xlpm.rate,INDEX('aflac-modified'!$B$2:$C$32,MATCH($AE17,'aflac-modified'!$A$2:$A$32,0),IF(LOWER(TRIM($F17))="male",1,2)),_xlpm.coverage,VALUE(SUBSTITUTE(SUBSTITUTE($S17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7" s="80">
        <f t="array" ref="AH17">IFERROR(_xlfn.LET(_xlpm.rate,INDEX(SBLI!$B$2:$E$37,MATCH($AE17,SBLI!$A$2:$A$37,0),IF(LOWER(TRIM($F17))="male",IF(LOWER(TRIM($K17))="yes",2,1),IF(LOWER(TRIM($K17))="yes",4,3))),_xlpm.coverage,VALUE(SUBSTITUTE(SUBSTITUTE($S17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7" s="80">
        <f t="array" ref="AI17">IFERROR(_xlfn.LET(_xlpm.rate,INDEX('SBLI-Modified'!$B$2:$E$27,MATCH($AE17,'SBLI-Modified'!$A$2:$A$27,0),IF(LOWER(TRIM($F17))="male",IF(LOWER(TRIM($K17))="yes",2,1),IF(LOWER(TRIM($K17))="yes",4,3))),_xlpm.coverage,VALUE(SUBSTITUTE(SUBSTITUTE($S17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7" s="80">
        <f t="array" ref="AJ17">IFERROR(_xlfn.LET(_xlpm.rate,INDEX(CICA!$B$2:$C$42,MATCH($AE17,CICA!$A$2:$A$42,0),IF(LOWER(TRIM($F17))="male",1,2)),_xlpm.coverage,VALUE(SUBSTITUTE(SUBSTITUTE($S17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7" s="80">
        <f t="array" ref="AK17">IFERROR(_xlfn.LET(_xlpm.rate,INDEX('CICA-GI'!$B$2:$C$47,MATCH($AE17,'CICA-GI'!$A$2:$A$47,0),IF(LOWER(TRIM($F17))="male",1,2)),_xlpm.coverage,VALUE(SUBSTITUTE(SUBSTITUTE($S17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7" s="80">
        <f t="array" ref="AL17">IFERROR(_xlfn.LET(_xlpm.rate,INDEX(gtl!$B$2:$C$52,MATCH($AE17,gtl!$A$2:$A$52,0),IF(LOWER(TRIM($F17))="male",1,2)),_xlpm.coverage,VALUE(SUBSTITUTE(SUBSTITUTE($S17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7" s="80">
        <f t="array" ref="AM17">IFERROR(_xlfn.LET(_xlpm.rate,INDEX(TransAmerica!$B$2:$E$69,MATCH($AE17,TransAmerica!$A$2:$A$69,0),IF(LOWER(TRIM($F17))="male",IF(LOWER(TRIM($K17))="yes",2,1),IF(LOWER(TRIM($K17))="yes",4,3))),_xlpm.coverage,VALUE(SUBSTITUTE(SUBSTITUTE($S17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7" s="80">
        <f t="array" ref="AN17">IFERROR(_xlfn.LET(_xlpm.rate,INDEX('TransAmerica Graded'!$B$2:$E$64,MATCH($AE17,'TransAmerica Graded'!$A$2:$A$64,0),IF(LOWER(TRIM($F17))="male",IF(LOWER(TRIM($K17))="yes",2,1),IF(LOWER(TRIM($K17))="yes",4,3))),_xlpm.coverage,VALUE(SUBSTITUTE(SUBSTITUTE($S17,"$",""),",","")),_xlpm.base,_xlpm.rate*(_xlpm.coverage/1000),_xlpm.fee,_xlfn.XLOOKUP("TransAmerica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7" s="80">
        <f t="array" ref="AO17">IFERROR(_xlfn.LET(_xlpm.rate,INDEX(Corebridge!$B$2:$C$32,MATCH($AE17,Corebridge!$A$2:$A$32,0),IF(LOWER(TRIM($F17))="male",1,2)),_xlpm.coverage,VALUE(SUBSTITUTE(SUBSTITUTE($S17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7" s="80">
        <f t="array" ref="AP17">IFERROR(_xlfn.LET(_xlpm.rate,INDEX(amam!$B$2:$E$37,MATCH($AE17,amam!$A$2:$A$37,0),IF(LOWER(TRIM($F17))="male",IF(LOWER(TRIM($K17))="yes",2,1),IF(LOWER(TRIM($K17))="yes",4,3))),_xlpm.coverage,VALUE(SUBSTITUTE(SUBSTITUTE($S17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7" s="80">
        <f t="array" ref="AQ17">IFERROR(_xlfn.LET(_xlpm.rate,INDEX('amam-graded'!$B$2:$E$37,MATCH($AE17,'amam-graded'!$A$2:$A$37,0),IF(LOWER(TRIM($F17))="male",IF(LOWER(TRIM($K17))="yes",2,1),IF(LOWER(TRIM($K17))="yes",4,3))),_xlpm.coverage,VALUE(SUBSTITUTE(SUBSTITUTE($S17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7" s="80">
        <f t="array" ref="AR17">IFERROR(_xlfn.LET(_xlpm.rate,INDEX('amam-return-or-premium'!$B$2:$E$37,MATCH($AE17,'amam-return-or-premium'!$A$2:$A$37,0),IF(LOWER(TRIM($F17))="male",IF(LOWER(TRIM($K17))="yes",2,1),IF(LOWER(TRIM($K17))="yes",4,3))),_xlpm.coverage,VALUE(SUBSTITUTE(SUBSTITUTE($S17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7" s="80">
        <f t="array" ref="AS17">IFERROR(_xlfn.LET(_xlpm.rate,INDEX(AHL!$B$2:$E$37,MATCH($AE17,AHL!$A$2:$A$37,0),IF(LOWER(TRIM($F17))="male",IF(LOWER(TRIM($K17))="yes",2,1),IF(LOWER(TRIM($K17))="yes",4,3))),_xlpm.coverage,VALUE(SUBSTITUTE(SUBSTITUTE($S17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7" s="80">
        <f t="array" ref="AT17">IFERROR(_xlfn.LET(_xlpm.rate,INDEX('AHL-Graded'!$B$2:$E$32,MATCH($AE17,'AHL-Graded'!$A$2:$A$32,0),IF(LOWER(TRIM($F17))="male",IF(LOWER(TRIM($K17))="yes",2,1),IF(LOWER(TRIM($K17))="yes",4,3))),_xlpm.coverage,VALUE(SUBSTITUTE(SUBSTITUTE($S17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7" s="80">
        <f t="array" ref="AU17">IFERROR(_xlfn.LET(_xlpm.rate,INDEX('Royal Neighbors'!$B$2:$E$37,MATCH($AE17,'Royal Neighbors'!$A$2:$A$37,0),IF(LOWER(TRIM($F17))="male",IF(LOWER(TRIM($K17))="yes",2,1),IF(LOWER(TRIM($K17))="yes",4,3))),_xlpm.coverage,VALUE(SUBSTITUTE(SUBSTITUTE($S17,"$",""),",","")),_xlpm.base,_xlpm.rate*(_xlpm.coverage/1000),_xlpm.fee,_xlfn.XLOOKUP("Royal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7" s="80">
        <f t="array" ref="AV17">IFERROR(_xlfn.LET(_xlpm.rate,INDEX('Royal Neighbors-Graded'!$B$2:$E$37,MATCH($AE17,'Royal Neighbors-Graded'!$A$2:$A$37,0),IF(LOWER(TRIM($F17))="male",IF(LOWER(TRIM($K17))="yes",2,1),IF(LOWER(TRIM($K17))="yes",4,3))),_xlpm.coverage,VALUE(SUBSTITUTE(SUBSTITUTE($S17,"$",""),",","")),_xlpm.base,_xlpm.rate*(_xlpm.coverage/1000),_xlpm.fee,_xlfn.XLOOKUP("Royal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7" s="80">
        <f t="array" ref="AW17">IFERROR(_xlfn.LET(_xlpm.rate,INDEX('Gerber-GI'!$B$2:$C$32,MATCH($AE17,'Gerber-GI'!$A$2:$A$32,0),IF(LOWER(TRIM($F17))="male",1,2)),_xlpm.coverage,VALUE(SUBSTITUTE(SUBSTITUTE($S17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7" s="80">
        <f t="array" ref="AX17">IFERROR(_xlfn.LET(_xlpm.rate,INDEX('Mutual of Omaha'!$B$2:$E$42,MATCH($AE17,'Mutual of Omaha'!$A$2:$A$42,0),IF(LOWER(TRIM($F17))="male",IF(LOWER(TRIM($K17))="yes",2,1),IF(LOWER(TRIM($K17))="yes",4,3))),_xlpm.coverage,VALUE(SUBSTITUTE(SUBSTITUTE($S17,"$",""),",","")),_xlpm.base,_xlpm.rate*(_xlpm.coverage/1000),_xlpm.fee,_xlfn.XLOOKUP("Mutal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7" s="80">
        <f t="array" ref="AY17">IFERROR(_xlfn.LET(_xlpm.rate,INDEX('Mutual of Omaha-Graded'!$B$2:$E$37,MATCH($AE17,'Mutual of Omaha-Graded'!$A$2:$A$37,0),IF(LOWER(TRIM($F17))="male",IF(LOWER(TRIM($K17))="yes",2,1),IF(LOWER(TRIM($K17))="yes",4,3))),_xlpm.coverage,VALUE(SUBSTITUTE(SUBSTITUTE($S17,"$",""),",","")),_xlpm.base,_xlpm.rate*(_xlpm.coverage/1000),_xlpm.fee,_xlfn.XLOOKUP("Mutual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7" s="80">
        <f>AP17</f>
        <v/>
      </c>
      <c r="BA17" s="80">
        <f>IFERROR(IF(AND(AP17&gt;0,AP17&lt;VALUE(SUBSTITUTE(SUBSTITUTE($T17,"$",""),",",""))),VALUE(SUBSTITUTE(SUBSTITUTE($T17,"$",""),",",""))-AP17,""),"")</f>
        <v/>
      </c>
      <c r="BB17" s="80">
        <f>AL17</f>
        <v/>
      </c>
      <c r="BC17" s="80">
        <f>IFERROR(IF(AND(AL17&gt;0,AL17&lt;VALUE(SUBSTITUTE(SUBSTITUTE($T17,"$",""),",",""))),VALUE(SUBSTITUTE(SUBSTITUTE($T17,"$",""),",",""))-AL17,""),"")</f>
        <v/>
      </c>
      <c r="BD17">
        <f t="array" ref="BD17">IFERROR(_xlfn.LET(_xlpm.current,VALUE(SUBSTITUTE(SUBSTITUTE($T17,"$",""),",","")),_xlpm.quotes,AF17:AY17,_xlpm.lowest,_xlfn.MINIFS(_xlpm.quotes,_xlpm.quotes,"&lt;"&amp;_xlpm.current,_xlpm.quotes,"&gt;0"),IF(_xlpm.lowest="","",SUBSTITUTE(INDEX($AF$1:$AY$1,1,MATCH(_xlpm.lowest,_xlpm.quotes,0))," Monthly Quote",""))),"")</f>
        <v/>
      </c>
      <c r="BE17" s="80">
        <f t="array" ref="BE17">IFERROR(_xlfn.LET(_xlpm.current,VALUE(SUBSTITUTE(SUBSTITUTE($T17,"$",""),",","")),_xlpm.quotes,AF17:AY17,_xlpm.lowest,_xlfn.MINIFS(_xlpm.quotes,_xlpm.quotes,"&lt;"&amp;_xlpm.current,_xlpm.quotes,"&gt;0"),IF(_xlpm.lowest="","",_xlpm.current-_xlpm.lowest)),"")</f>
        <v/>
      </c>
    </row>
    <row r="18">
      <c r="A18" s="67" t="inlineStr">
        <is>
          <t>Edwin Remus</t>
        </is>
      </c>
      <c r="B18" s="67" t="inlineStr">
        <is>
          <t>Ramirez</t>
        </is>
      </c>
      <c r="C18" s="68" t="n">
        <v>9087646460</v>
      </c>
      <c r="D18" s="68" t="n">
        <v>76</v>
      </c>
      <c r="E18" s="69" t="n">
        <v>17736</v>
      </c>
      <c r="F18" s="67" t="inlineStr">
        <is>
          <t>M</t>
        </is>
      </c>
      <c r="G18" s="67" t="inlineStr">
        <is>
          <t>133 7th Ave Apartment 2r Newark, NJ 07104</t>
        </is>
      </c>
      <c r="H18" s="67" t="inlineStr">
        <is>
          <t>Puerto Rico</t>
        </is>
      </c>
      <c r="I18" s="68" t="n">
        <v>6.2</v>
      </c>
      <c r="J18" s="68" t="n">
        <v>182</v>
      </c>
      <c r="K18" s="67" t="inlineStr">
        <is>
          <t>Yes</t>
        </is>
      </c>
      <c r="L18" s="67" t="n"/>
      <c r="M18" s="67" t="inlineStr">
        <is>
          <t>Burial</t>
        </is>
      </c>
      <c r="N18" s="67" t="inlineStr">
        <is>
          <t>Maria ROdriguez</t>
        </is>
      </c>
      <c r="O18" s="67" t="inlineStr">
        <is>
          <t>Daughter</t>
        </is>
      </c>
      <c r="P18" s="67" t="n"/>
      <c r="Q18" s="67" t="n"/>
      <c r="R18" s="67" t="inlineStr">
        <is>
          <t>RNA (Stand)</t>
        </is>
      </c>
      <c r="S18" s="70" t="n">
        <v>5000</v>
      </c>
      <c r="T18" s="68" t="n">
        <v>95.09999999999999</v>
      </c>
      <c r="U18" s="69" t="n">
        <v>45994</v>
      </c>
      <c r="V18" s="69" t="n">
        <v>46025</v>
      </c>
      <c r="W18" s="68" t="n">
        <v>153384495</v>
      </c>
      <c r="X18" s="67" t="inlineStr">
        <is>
          <t>Nil</t>
        </is>
      </c>
      <c r="Y18" s="67" t="inlineStr">
        <is>
          <t>Popular Bank</t>
        </is>
      </c>
      <c r="Z18" s="68" t="n">
        <v>21502011</v>
      </c>
      <c r="AA18" s="68" t="n">
        <v>173283314</v>
      </c>
      <c r="AB18" s="67" t="inlineStr">
        <is>
          <t>No major health conditions</t>
        </is>
      </c>
      <c r="AC18" s="67" t="inlineStr">
        <is>
          <t>Preventive Prescriptions</t>
        </is>
      </c>
      <c r="AD18" s="67" t="inlineStr">
        <is>
          <t>N/A</t>
        </is>
      </c>
      <c r="AE18" s="68" t="n">
        <v>77</v>
      </c>
      <c r="AF18" s="80">
        <f t="array" ref="AF18">IFERROR(_xlfn.LET(_xlpm.rate,INDEX(aflac!$B$2:$E$37,MATCH($AE18,aflac!$A$2:$A$37,0),IF(LOWER(TRIM($F18))="male",IF(LOWER(TRIM($K18))="yes",2,1),IF(LOWER(TRIM($K18))="yes",4,3))),_xlpm.coverage,VALUE(SUBSTITUTE(SUBSTITUTE($S18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8" s="80">
        <f t="array" ref="AG18">IFERROR(_xlfn.LET(_xlpm.rate,INDEX('aflac-modified'!$B$2:$C$32,MATCH($AE18,'aflac-modified'!$A$2:$A$32,0),IF(LOWER(TRIM($F18))="male",1,2)),_xlpm.coverage,VALUE(SUBSTITUTE(SUBSTITUTE($S18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8" s="80">
        <f t="array" ref="AH18">IFERROR(_xlfn.LET(_xlpm.rate,INDEX(SBLI!$B$2:$E$37,MATCH($AE18,SBLI!$A$2:$A$37,0),IF(LOWER(TRIM($F18))="male",IF(LOWER(TRIM($K18))="yes",2,1),IF(LOWER(TRIM($K18))="yes",4,3))),_xlpm.coverage,VALUE(SUBSTITUTE(SUBSTITUTE($S18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8" s="80">
        <f t="array" ref="AI18">IFERROR(_xlfn.LET(_xlpm.rate,INDEX('SBLI-Modified'!$B$2:$E$27,MATCH($AE18,'SBLI-Modified'!$A$2:$A$27,0),IF(LOWER(TRIM($F18))="male",IF(LOWER(TRIM($K18))="yes",2,1),IF(LOWER(TRIM($K18))="yes",4,3))),_xlpm.coverage,VALUE(SUBSTITUTE(SUBSTITUTE($S18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8" s="80">
        <f t="array" ref="AJ18">IFERROR(_xlfn.LET(_xlpm.rate,INDEX(CICA!$B$2:$C$42,MATCH($AE18,CICA!$A$2:$A$42,0),IF(LOWER(TRIM($F18))="male",1,2)),_xlpm.coverage,VALUE(SUBSTITUTE(SUBSTITUTE($S18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8" s="80">
        <f t="array" ref="AK18">IFERROR(_xlfn.LET(_xlpm.rate,INDEX('CICA-GI'!$B$2:$C$47,MATCH($AE18,'CICA-GI'!$A$2:$A$47,0),IF(LOWER(TRIM($F18))="male",1,2)),_xlpm.coverage,VALUE(SUBSTITUTE(SUBSTITUTE($S18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8" s="80">
        <f t="array" ref="AL18">IFERROR(_xlfn.LET(_xlpm.rate,INDEX(gtl!$B$2:$C$52,MATCH($AE18,gtl!$A$2:$A$52,0),IF(LOWER(TRIM($F18))="male",1,2)),_xlpm.coverage,VALUE(SUBSTITUTE(SUBSTITUTE($S18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8" s="80">
        <f t="array" ref="AM18">IFERROR(_xlfn.LET(_xlpm.rate,INDEX(TransAmerica!$B$2:$E$69,MATCH($AE18,TransAmerica!$A$2:$A$69,0),IF(LOWER(TRIM($F18))="male",IF(LOWER(TRIM($K18))="yes",2,1),IF(LOWER(TRIM($K18))="yes",4,3))),_xlpm.coverage,VALUE(SUBSTITUTE(SUBSTITUTE($S18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8" s="80">
        <f t="array" ref="AN18">IFERROR(_xlfn.LET(_xlpm.rate,INDEX('TransAmerica Graded'!$B$2:$E$64,MATCH($AE18,'TransAmerica Graded'!$A$2:$A$64,0),IF(LOWER(TRIM($F18))="male",IF(LOWER(TRIM($K18))="yes",2,1),IF(LOWER(TRIM($K18))="yes",4,3))),_xlpm.coverage,VALUE(SUBSTITUTE(SUBSTITUTE($S18,"$",""),",","")),_xlpm.base,_xlpm.rate*(_xlpm.coverage/1000),_xlpm.fee,_xlfn.XLOOKUP("TransAmerica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8" s="80">
        <f t="array" ref="AO18">IFERROR(_xlfn.LET(_xlpm.rate,INDEX(Corebridge!$B$2:$C$32,MATCH($AE18,Corebridge!$A$2:$A$32,0),IF(LOWER(TRIM($F18))="male",1,2)),_xlpm.coverage,VALUE(SUBSTITUTE(SUBSTITUTE($S18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8" s="80">
        <f t="array" ref="AP18">IFERROR(_xlfn.LET(_xlpm.rate,INDEX(amam!$B$2:$E$37,MATCH($AE18,amam!$A$2:$A$37,0),IF(LOWER(TRIM($F18))="male",IF(LOWER(TRIM($K18))="yes",2,1),IF(LOWER(TRIM($K18))="yes",4,3))),_xlpm.coverage,VALUE(SUBSTITUTE(SUBSTITUTE($S18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8" s="80">
        <f t="array" ref="AQ18">IFERROR(_xlfn.LET(_xlpm.rate,INDEX('amam-graded'!$B$2:$E$37,MATCH($AE18,'amam-graded'!$A$2:$A$37,0),IF(LOWER(TRIM($F18))="male",IF(LOWER(TRIM($K18))="yes",2,1),IF(LOWER(TRIM($K18))="yes",4,3))),_xlpm.coverage,VALUE(SUBSTITUTE(SUBSTITUTE($S18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8" s="80">
        <f t="array" ref="AR18">IFERROR(_xlfn.LET(_xlpm.rate,INDEX('amam-return-or-premium'!$B$2:$E$37,MATCH($AE18,'amam-return-or-premium'!$A$2:$A$37,0),IF(LOWER(TRIM($F18))="male",IF(LOWER(TRIM($K18))="yes",2,1),IF(LOWER(TRIM($K18))="yes",4,3))),_xlpm.coverage,VALUE(SUBSTITUTE(SUBSTITUTE($S18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8" s="80">
        <f t="array" ref="AS18">IFERROR(_xlfn.LET(_xlpm.rate,INDEX(AHL!$B$2:$E$37,MATCH($AE18,AHL!$A$2:$A$37,0),IF(LOWER(TRIM($F18))="male",IF(LOWER(TRIM($K18))="yes",2,1),IF(LOWER(TRIM($K18))="yes",4,3))),_xlpm.coverage,VALUE(SUBSTITUTE(SUBSTITUTE($S18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8" s="80">
        <f t="array" ref="AT18">IFERROR(_xlfn.LET(_xlpm.rate,INDEX('AHL-Graded'!$B$2:$E$32,MATCH($AE18,'AHL-Graded'!$A$2:$A$32,0),IF(LOWER(TRIM($F18))="male",IF(LOWER(TRIM($K18))="yes",2,1),IF(LOWER(TRIM($K18))="yes",4,3))),_xlpm.coverage,VALUE(SUBSTITUTE(SUBSTITUTE($S18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8" s="80">
        <f t="array" ref="AU18">IFERROR(_xlfn.LET(_xlpm.rate,INDEX('Royal Neighbors'!$B$2:$E$37,MATCH($AE18,'Royal Neighbors'!$A$2:$A$37,0),IF(LOWER(TRIM($F18))="male",IF(LOWER(TRIM($K18))="yes",2,1),IF(LOWER(TRIM($K18))="yes",4,3))),_xlpm.coverage,VALUE(SUBSTITUTE(SUBSTITUTE($S18,"$",""),",","")),_xlpm.base,_xlpm.rate*(_xlpm.coverage/1000),_xlpm.fee,_xlfn.XLOOKUP("Royal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8" s="80">
        <f t="array" ref="AV18">IFERROR(_xlfn.LET(_xlpm.rate,INDEX('Royal Neighbors-Graded'!$B$2:$E$37,MATCH($AE18,'Royal Neighbors-Graded'!$A$2:$A$37,0),IF(LOWER(TRIM($F18))="male",IF(LOWER(TRIM($K18))="yes",2,1),IF(LOWER(TRIM($K18))="yes",4,3))),_xlpm.coverage,VALUE(SUBSTITUTE(SUBSTITUTE($S18,"$",""),",","")),_xlpm.base,_xlpm.rate*(_xlpm.coverage/1000),_xlpm.fee,_xlfn.XLOOKUP("Royal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8" s="80">
        <f t="array" ref="AW18">IFERROR(_xlfn.LET(_xlpm.rate,INDEX('Gerber-GI'!$B$2:$C$32,MATCH($AE18,'Gerber-GI'!$A$2:$A$32,0),IF(LOWER(TRIM($F18))="male",1,2)),_xlpm.coverage,VALUE(SUBSTITUTE(SUBSTITUTE($S18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8" s="80">
        <f t="array" ref="AX18">IFERROR(_xlfn.LET(_xlpm.rate,INDEX('Mutual of Omaha'!$B$2:$E$42,MATCH($AE18,'Mutual of Omaha'!$A$2:$A$42,0),IF(LOWER(TRIM($F18))="male",IF(LOWER(TRIM($K18))="yes",2,1),IF(LOWER(TRIM($K18))="yes",4,3))),_xlpm.coverage,VALUE(SUBSTITUTE(SUBSTITUTE($S18,"$",""),",","")),_xlpm.base,_xlpm.rate*(_xlpm.coverage/1000),_xlpm.fee,_xlfn.XLOOKUP("Mutal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8" s="80">
        <f t="array" ref="AY18">IFERROR(_xlfn.LET(_xlpm.rate,INDEX('Mutual of Omaha-Graded'!$B$2:$E$37,MATCH($AE18,'Mutual of Omaha-Graded'!$A$2:$A$37,0),IF(LOWER(TRIM($F18))="male",IF(LOWER(TRIM($K18))="yes",2,1),IF(LOWER(TRIM($K18))="yes",4,3))),_xlpm.coverage,VALUE(SUBSTITUTE(SUBSTITUTE($S18,"$",""),",","")),_xlpm.base,_xlpm.rate*(_xlpm.coverage/1000),_xlpm.fee,_xlfn.XLOOKUP("Mutual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8" s="80">
        <f>AP18</f>
        <v/>
      </c>
      <c r="BA18" s="80">
        <f>IFERROR(IF(AND(AP18&gt;0,AP18&lt;VALUE(SUBSTITUTE(SUBSTITUTE($T18,"$",""),",",""))),VALUE(SUBSTITUTE(SUBSTITUTE($T18,"$",""),",",""))-AP18,""),"")</f>
        <v/>
      </c>
      <c r="BB18" s="80">
        <f>AL18</f>
        <v/>
      </c>
      <c r="BC18" s="80">
        <f>IFERROR(IF(AND(AL18&gt;0,AL18&lt;VALUE(SUBSTITUTE(SUBSTITUTE($T18,"$",""),",",""))),VALUE(SUBSTITUTE(SUBSTITUTE($T18,"$",""),",",""))-AL18,""),"")</f>
        <v/>
      </c>
      <c r="BD18">
        <f t="array" ref="BD18">IFERROR(_xlfn.LET(_xlpm.current,VALUE(SUBSTITUTE(SUBSTITUTE($T18,"$",""),",","")),_xlpm.quotes,AF18:AY18,_xlpm.lowest,_xlfn.MINIFS(_xlpm.quotes,_xlpm.quotes,"&lt;"&amp;_xlpm.current,_xlpm.quotes,"&gt;0"),IF(_xlpm.lowest="","",SUBSTITUTE(INDEX($AF$1:$AY$1,1,MATCH(_xlpm.lowest,_xlpm.quotes,0))," Monthly Quote",""))),"")</f>
        <v/>
      </c>
      <c r="BE18" s="80">
        <f t="array" ref="BE18">IFERROR(_xlfn.LET(_xlpm.current,VALUE(SUBSTITUTE(SUBSTITUTE($T18,"$",""),",","")),_xlpm.quotes,AF18:AY18,_xlpm.lowest,_xlfn.MINIFS(_xlpm.quotes,_xlpm.quotes,"&lt;"&amp;_xlpm.current,_xlpm.quotes,"&gt;0"),IF(_xlpm.lowest="","",_xlpm.current-_xlpm.lowest)),"")</f>
        <v/>
      </c>
    </row>
    <row r="19">
      <c r="A19" s="67" t="inlineStr">
        <is>
          <t>Diana Sue</t>
        </is>
      </c>
      <c r="B19" s="67" t="inlineStr">
        <is>
          <t>Collins</t>
        </is>
      </c>
      <c r="C19" s="68" t="n">
        <v>7402977276</v>
      </c>
      <c r="D19" s="68" t="n">
        <v>69</v>
      </c>
      <c r="E19" s="69" t="n">
        <v>20622</v>
      </c>
      <c r="F19" s="67" t="inlineStr">
        <is>
          <t>Female</t>
        </is>
      </c>
      <c r="G19" s="67" t="inlineStr">
        <is>
          <t>516 Sheridan St #305 Zanesville, OH 43701</t>
        </is>
      </c>
      <c r="H19" s="67" t="inlineStr">
        <is>
          <t>OH</t>
        </is>
      </c>
      <c r="I19" s="73" t="n">
        <v>46123</v>
      </c>
      <c r="J19" s="68" t="n">
        <v>202</v>
      </c>
      <c r="K19" s="67" t="inlineStr">
        <is>
          <t>No</t>
        </is>
      </c>
      <c r="L19" s="67" t="n"/>
      <c r="M19" s="67" t="inlineStr">
        <is>
          <t>Burial</t>
        </is>
      </c>
      <c r="N19" s="67" t="inlineStr">
        <is>
          <t>Brad Bruce - 01 16 1979</t>
        </is>
      </c>
      <c r="O19" s="67" t="inlineStr">
        <is>
          <t>Son</t>
        </is>
      </c>
      <c r="P19" s="67" t="n"/>
      <c r="Q19" s="67" t="n"/>
      <c r="R19" s="67" t="inlineStr">
        <is>
          <t>RNA</t>
        </is>
      </c>
      <c r="S19" s="70" t="n">
        <v>10000</v>
      </c>
      <c r="T19" s="71" t="n">
        <v>57.95</v>
      </c>
      <c r="U19" s="69" t="n">
        <v>45966</v>
      </c>
      <c r="V19" s="69" t="n">
        <v>45994</v>
      </c>
      <c r="W19" s="68" t="n">
        <v>284647037</v>
      </c>
      <c r="X19" s="67" t="inlineStr">
        <is>
          <t>No</t>
        </is>
      </c>
      <c r="Y19" s="67" t="inlineStr">
        <is>
          <t>Huntington Bank's</t>
        </is>
      </c>
      <c r="Z19" s="68" t="n">
        <v>44115090</v>
      </c>
      <c r="AA19" s="68" t="n">
        <v>4090320059</v>
      </c>
      <c r="AB19" s="67" t="inlineStr">
        <is>
          <t>HBP High cholesterol diabetes COPD Arthritis</t>
        </is>
      </c>
      <c r="AC19" s="67" t="inlineStr">
        <is>
          <t>21 med</t>
        </is>
      </c>
      <c r="AD19" s="67" t="inlineStr">
        <is>
          <t>Martha L. Mccoy | Nurse Practitioner | Zanesville, OH</t>
        </is>
      </c>
      <c r="AE19" s="68" t="n">
        <v>70</v>
      </c>
      <c r="AF19" s="80">
        <f t="array" ref="AF19">IFERROR(_xlfn.LET(_xlpm.rate,INDEX(aflac!$B$2:$E$37,MATCH($AE19,aflac!$A$2:$A$37,0),IF(LOWER(TRIM($F19))="male",IF(LOWER(TRIM($K19))="yes",2,1),IF(LOWER(TRIM($K19))="yes",4,3))),_xlpm.coverage,VALUE(SUBSTITUTE(SUBSTITUTE($S19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19" s="80">
        <f t="array" ref="AG19">IFERROR(_xlfn.LET(_xlpm.rate,INDEX('aflac-modified'!$B$2:$C$32,MATCH($AE19,'aflac-modified'!$A$2:$A$32,0),IF(LOWER(TRIM($F19))="male",1,2)),_xlpm.coverage,VALUE(SUBSTITUTE(SUBSTITUTE($S19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19" s="80">
        <f t="array" ref="AH19">IFERROR(_xlfn.LET(_xlpm.rate,INDEX(SBLI!$B$2:$E$37,MATCH($AE19,SBLI!$A$2:$A$37,0),IF(LOWER(TRIM($F19))="male",IF(LOWER(TRIM($K19))="yes",2,1),IF(LOWER(TRIM($K19))="yes",4,3))),_xlpm.coverage,VALUE(SUBSTITUTE(SUBSTITUTE($S19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19" s="80">
        <f t="array" ref="AI19">IFERROR(_xlfn.LET(_xlpm.rate,INDEX('SBLI-Modified'!$B$2:$E$27,MATCH($AE19,'SBLI-Modified'!$A$2:$A$27,0),IF(LOWER(TRIM($F19))="male",IF(LOWER(TRIM($K19))="yes",2,1),IF(LOWER(TRIM($K19))="yes",4,3))),_xlpm.coverage,VALUE(SUBSTITUTE(SUBSTITUTE($S19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19" s="80">
        <f t="array" ref="AJ19">IFERROR(_xlfn.LET(_xlpm.rate,INDEX(CICA!$B$2:$C$42,MATCH($AE19,CICA!$A$2:$A$42,0),IF(LOWER(TRIM($F19))="male",1,2)),_xlpm.coverage,VALUE(SUBSTITUTE(SUBSTITUTE($S19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19" s="80">
        <f t="array" ref="AK19">IFERROR(_xlfn.LET(_xlpm.rate,INDEX('CICA-GI'!$B$2:$C$47,MATCH($AE19,'CICA-GI'!$A$2:$A$47,0),IF(LOWER(TRIM($F19))="male",1,2)),_xlpm.coverage,VALUE(SUBSTITUTE(SUBSTITUTE($S19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19" s="80">
        <f t="array" ref="AL19">IFERROR(_xlfn.LET(_xlpm.rate,INDEX(gtl!$B$2:$C$52,MATCH($AE19,gtl!$A$2:$A$52,0),IF(LOWER(TRIM($F19))="male",1,2)),_xlpm.coverage,VALUE(SUBSTITUTE(SUBSTITUTE($S19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19" s="80">
        <f t="array" ref="AM19">IFERROR(_xlfn.LET(_xlpm.rate,INDEX(TransAmerica!$B$2:$E$69,MATCH($AE19,TransAmerica!$A$2:$A$69,0),IF(LOWER(TRIM($F19))="male",IF(LOWER(TRIM($K19))="yes",2,1),IF(LOWER(TRIM($K19))="yes",4,3))),_xlpm.coverage,VALUE(SUBSTITUTE(SUBSTITUTE($S19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19" s="80">
        <f t="array" ref="AN19">IFERROR(_xlfn.LET(_xlpm.rate,INDEX('TransAmerica Graded'!$B$2:$E$64,MATCH($AE19,'TransAmerica Graded'!$A$2:$A$64,0),IF(LOWER(TRIM($F19))="male",IF(LOWER(TRIM($K19))="yes",2,1),IF(LOWER(TRIM($K19))="yes",4,3))),_xlpm.coverage,VALUE(SUBSTITUTE(SUBSTITUTE($S19,"$",""),",","")),_xlpm.base,_xlpm.rate*(_xlpm.coverage/1000),_xlpm.fee,_xlfn.XLOOKUP("TransAmerica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19" s="80">
        <f t="array" ref="AO19">IFERROR(_xlfn.LET(_xlpm.rate,INDEX(Corebridge!$B$2:$C$32,MATCH($AE19,Corebridge!$A$2:$A$32,0),IF(LOWER(TRIM($F19))="male",1,2)),_xlpm.coverage,VALUE(SUBSTITUTE(SUBSTITUTE($S19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19" s="80">
        <f t="array" ref="AP19">IFERROR(_xlfn.LET(_xlpm.rate,INDEX(amam!$B$2:$E$37,MATCH($AE19,amam!$A$2:$A$37,0),IF(LOWER(TRIM($F19))="male",IF(LOWER(TRIM($K19))="yes",2,1),IF(LOWER(TRIM($K19))="yes",4,3))),_xlpm.coverage,VALUE(SUBSTITUTE(SUBSTITUTE($S19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19" s="80">
        <f t="array" ref="AQ19">IFERROR(_xlfn.LET(_xlpm.rate,INDEX('amam-graded'!$B$2:$E$37,MATCH($AE19,'amam-graded'!$A$2:$A$37,0),IF(LOWER(TRIM($F19))="male",IF(LOWER(TRIM($K19))="yes",2,1),IF(LOWER(TRIM($K19))="yes",4,3))),_xlpm.coverage,VALUE(SUBSTITUTE(SUBSTITUTE($S19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19" s="80">
        <f t="array" ref="AR19">IFERROR(_xlfn.LET(_xlpm.rate,INDEX('amam-return-or-premium'!$B$2:$E$37,MATCH($AE19,'amam-return-or-premium'!$A$2:$A$37,0),IF(LOWER(TRIM($F19))="male",IF(LOWER(TRIM($K19))="yes",2,1),IF(LOWER(TRIM($K19))="yes",4,3))),_xlpm.coverage,VALUE(SUBSTITUTE(SUBSTITUTE($S19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19" s="80">
        <f t="array" ref="AS19">IFERROR(_xlfn.LET(_xlpm.rate,INDEX(AHL!$B$2:$E$37,MATCH($AE19,AHL!$A$2:$A$37,0),IF(LOWER(TRIM($F19))="male",IF(LOWER(TRIM($K19))="yes",2,1),IF(LOWER(TRIM($K19))="yes",4,3))),_xlpm.coverage,VALUE(SUBSTITUTE(SUBSTITUTE($S19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19" s="80">
        <f t="array" ref="AT19">IFERROR(_xlfn.LET(_xlpm.rate,INDEX('AHL-Graded'!$B$2:$E$32,MATCH($AE19,'AHL-Graded'!$A$2:$A$32,0),IF(LOWER(TRIM($F19))="male",IF(LOWER(TRIM($K19))="yes",2,1),IF(LOWER(TRIM($K19))="yes",4,3))),_xlpm.coverage,VALUE(SUBSTITUTE(SUBSTITUTE($S19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19" s="80">
        <f t="array" ref="AU19">IFERROR(_xlfn.LET(_xlpm.rate,INDEX('Royal Neighbors'!$B$2:$E$37,MATCH($AE19,'Royal Neighbors'!$A$2:$A$37,0),IF(LOWER(TRIM($F19))="male",IF(LOWER(TRIM($K19))="yes",2,1),IF(LOWER(TRIM($K19))="yes",4,3))),_xlpm.coverage,VALUE(SUBSTITUTE(SUBSTITUTE($S19,"$",""),",","")),_xlpm.base,_xlpm.rate*(_xlpm.coverage/1000),_xlpm.fee,_xlfn.XLOOKUP("Royal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19" s="80">
        <f t="array" ref="AV19">IFERROR(_xlfn.LET(_xlpm.rate,INDEX('Royal Neighbors-Graded'!$B$2:$E$37,MATCH($AE19,'Royal Neighbors-Graded'!$A$2:$A$37,0),IF(LOWER(TRIM($F19))="male",IF(LOWER(TRIM($K19))="yes",2,1),IF(LOWER(TRIM($K19))="yes",4,3))),_xlpm.coverage,VALUE(SUBSTITUTE(SUBSTITUTE($S19,"$",""),",","")),_xlpm.base,_xlpm.rate*(_xlpm.coverage/1000),_xlpm.fee,_xlfn.XLOOKUP("Royal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19" s="80">
        <f t="array" ref="AW19">IFERROR(_xlfn.LET(_xlpm.rate,INDEX('Gerber-GI'!$B$2:$C$32,MATCH($AE19,'Gerber-GI'!$A$2:$A$32,0),IF(LOWER(TRIM($F19))="male",1,2)),_xlpm.coverage,VALUE(SUBSTITUTE(SUBSTITUTE($S19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19" s="80">
        <f t="array" ref="AX19">IFERROR(_xlfn.LET(_xlpm.rate,INDEX('Mutual of Omaha'!$B$2:$E$42,MATCH($AE19,'Mutual of Omaha'!$A$2:$A$42,0),IF(LOWER(TRIM($F19))="male",IF(LOWER(TRIM($K19))="yes",2,1),IF(LOWER(TRIM($K19))="yes",4,3))),_xlpm.coverage,VALUE(SUBSTITUTE(SUBSTITUTE($S19,"$",""),",","")),_xlpm.base,_xlpm.rate*(_xlpm.coverage/1000),_xlpm.fee,_xlfn.XLOOKUP("Mutal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19" s="80">
        <f t="array" ref="AY19">IFERROR(_xlfn.LET(_xlpm.rate,INDEX('Mutual of Omaha-Graded'!$B$2:$E$37,MATCH($AE19,'Mutual of Omaha-Graded'!$A$2:$A$37,0),IF(LOWER(TRIM($F19))="male",IF(LOWER(TRIM($K19))="yes",2,1),IF(LOWER(TRIM($K19))="yes",4,3))),_xlpm.coverage,VALUE(SUBSTITUTE(SUBSTITUTE($S19,"$",""),",","")),_xlpm.base,_xlpm.rate*(_xlpm.coverage/1000),_xlpm.fee,_xlfn.XLOOKUP("Mutual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19" s="80">
        <f>AP19</f>
        <v/>
      </c>
      <c r="BA19" s="80">
        <f>IFERROR(IF(AND(AP19&gt;0,AP19&lt;VALUE(SUBSTITUTE(SUBSTITUTE($T19,"$",""),",",""))),VALUE(SUBSTITUTE(SUBSTITUTE($T19,"$",""),",",""))-AP19,""),"")</f>
        <v/>
      </c>
      <c r="BB19" s="80">
        <f>AL19</f>
        <v/>
      </c>
      <c r="BC19" s="80">
        <f>IFERROR(IF(AND(AL19&gt;0,AL19&lt;VALUE(SUBSTITUTE(SUBSTITUTE($T19,"$",""),",",""))),VALUE(SUBSTITUTE(SUBSTITUTE($T19,"$",""),",",""))-AL19,""),"")</f>
        <v/>
      </c>
      <c r="BD19">
        <f t="array" ref="BD19">IFERROR(_xlfn.LET(_xlpm.current,VALUE(SUBSTITUTE(SUBSTITUTE($T19,"$",""),",","")),_xlpm.quotes,AF19:AY19,_xlpm.lowest,_xlfn.MINIFS(_xlpm.quotes,_xlpm.quotes,"&lt;"&amp;_xlpm.current,_xlpm.quotes,"&gt;0"),IF(_xlpm.lowest="","",SUBSTITUTE(INDEX($AF$1:$AY$1,1,MATCH(_xlpm.lowest,_xlpm.quotes,0))," Monthly Quote",""))),"")</f>
        <v/>
      </c>
      <c r="BE19" s="80">
        <f t="array" ref="BE19">IFERROR(_xlfn.LET(_xlpm.current,VALUE(SUBSTITUTE(SUBSTITUTE($T19,"$",""),",","")),_xlpm.quotes,AF19:AY19,_xlpm.lowest,_xlfn.MINIFS(_xlpm.quotes,_xlpm.quotes,"&lt;"&amp;_xlpm.current,_xlpm.quotes,"&gt;0"),IF(_xlpm.lowest="","",_xlpm.current-_xlpm.lowest)),"")</f>
        <v/>
      </c>
    </row>
    <row r="20">
      <c r="A20" s="63" t="inlineStr">
        <is>
          <t>Myrna A</t>
        </is>
      </c>
      <c r="B20" s="63" t="inlineStr">
        <is>
          <t>Wetch</t>
        </is>
      </c>
      <c r="C20" s="64" t="n">
        <v>7012235163</v>
      </c>
      <c r="D20" s="64" t="n">
        <v>77</v>
      </c>
      <c r="E20" s="65" t="n">
        <v>17713</v>
      </c>
      <c r="F20" s="63" t="inlineStr">
        <is>
          <t>Female</t>
        </is>
      </c>
      <c r="G20" s="63" t="inlineStr">
        <is>
          <t>818 N 18th St Bismarck ND 58501</t>
        </is>
      </c>
      <c r="H20" s="63" t="inlineStr">
        <is>
          <t>ND</t>
        </is>
      </c>
      <c r="I20" s="64" t="n">
        <v>5.2</v>
      </c>
      <c r="J20" s="64" t="n">
        <v>140</v>
      </c>
      <c r="K20" s="63" t="inlineStr">
        <is>
          <t>No</t>
        </is>
      </c>
      <c r="L20" s="63" t="inlineStr">
        <is>
          <t>.</t>
        </is>
      </c>
      <c r="M20" s="63" t="inlineStr">
        <is>
          <t>Burial</t>
        </is>
      </c>
      <c r="N20" s="63" t="inlineStr">
        <is>
          <t>Christopher Wetch: 07/25/1980</t>
        </is>
      </c>
      <c r="O20" s="63" t="inlineStr">
        <is>
          <t>Son</t>
        </is>
      </c>
      <c r="P20" s="63" t="inlineStr">
        <is>
          <t>.</t>
        </is>
      </c>
      <c r="Q20" s="63" t="inlineStr">
        <is>
          <t>.</t>
        </is>
      </c>
      <c r="R20" s="63" t="inlineStr">
        <is>
          <t>RNA</t>
        </is>
      </c>
      <c r="S20" s="66" t="n">
        <v>5000</v>
      </c>
      <c r="T20" s="64" t="n">
        <v>51.05</v>
      </c>
      <c r="U20" s="65" t="n">
        <v>45972</v>
      </c>
      <c r="V20" s="65" t="n">
        <v>46002</v>
      </c>
      <c r="W20" s="64" t="n">
        <v>501527554</v>
      </c>
      <c r="X20" s="63" t="inlineStr">
        <is>
          <t>Drive: WET-48-2754 EXP: 06/29/2030</t>
        </is>
      </c>
      <c r="Y20" s="63" t="inlineStr">
        <is>
          <t>Capital Credit Union</t>
        </is>
      </c>
      <c r="Z20" s="64" t="n">
        <v>291378130</v>
      </c>
      <c r="AA20" s="64" t="n">
        <v>4606000</v>
      </c>
      <c r="AB20" s="63" t="inlineStr">
        <is>
          <t>Thyroid Disrder Atrial Fibrillation (AFIB)</t>
        </is>
      </c>
      <c r="AC20" s="63" t="inlineStr">
        <is>
          <t>Omeprazole Ulcer current Levothyroxine Thyroid Disorder current Amitriptyline Migraines current Eliquis Atrial Fibrillation (AFIB) current</t>
        </is>
      </c>
      <c r="AD20" s="63" t="inlineStr">
        <is>
          <t>Dr. David Pengilly</t>
        </is>
      </c>
      <c r="AE20" s="64" t="n">
        <v>77</v>
      </c>
      <c r="AF20" s="80">
        <f t="array" ref="AF20">IFERROR(_xlfn.LET(_xlpm.rate,INDEX(aflac!$B$2:$E$37,MATCH($AE20,aflac!$A$2:$A$37,0),IF(LOWER(TRIM($F20))="male",IF(LOWER(TRIM($K20))="yes",2,1),IF(LOWER(TRIM($K20))="yes",4,3))),_xlpm.coverage,VALUE(SUBSTITUTE(SUBSTITUTE($S20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0" s="80">
        <f t="array" ref="AG20">IFERROR(_xlfn.LET(_xlpm.rate,INDEX('aflac-modified'!$B$2:$C$32,MATCH($AE20,'aflac-modified'!$A$2:$A$32,0),IF(LOWER(TRIM($F20))="male",1,2)),_xlpm.coverage,VALUE(SUBSTITUTE(SUBSTITUTE($S20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0" s="80">
        <f t="array" ref="AH20">IFERROR(_xlfn.LET(_xlpm.rate,INDEX(SBLI!$B$2:$E$37,MATCH($AE20,SBLI!$A$2:$A$37,0),IF(LOWER(TRIM($F20))="male",IF(LOWER(TRIM($K20))="yes",2,1),IF(LOWER(TRIM($K20))="yes",4,3))),_xlpm.coverage,VALUE(SUBSTITUTE(SUBSTITUTE($S20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0" s="80">
        <f t="array" ref="AI20">IFERROR(_xlfn.LET(_xlpm.rate,INDEX('SBLI-Modified'!$B$2:$E$27,MATCH($AE20,'SBLI-Modified'!$A$2:$A$27,0),IF(LOWER(TRIM($F20))="male",IF(LOWER(TRIM($K20))="yes",2,1),IF(LOWER(TRIM($K20))="yes",4,3))),_xlpm.coverage,VALUE(SUBSTITUTE(SUBSTITUTE($S20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0" s="80">
        <f t="array" ref="AJ20">IFERROR(_xlfn.LET(_xlpm.rate,INDEX(CICA!$B$2:$C$42,MATCH($AE20,CICA!$A$2:$A$42,0),IF(LOWER(TRIM($F20))="male",1,2)),_xlpm.coverage,VALUE(SUBSTITUTE(SUBSTITUTE($S20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0" s="80">
        <f t="array" ref="AK20">IFERROR(_xlfn.LET(_xlpm.rate,INDEX('CICA-GI'!$B$2:$C$47,MATCH($AE20,'CICA-GI'!$A$2:$A$47,0),IF(LOWER(TRIM($F20))="male",1,2)),_xlpm.coverage,VALUE(SUBSTITUTE(SUBSTITUTE($S20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0" s="80">
        <f t="array" ref="AL20">IFERROR(_xlfn.LET(_xlpm.rate,INDEX(gtl!$B$2:$C$52,MATCH($AE20,gtl!$A$2:$A$52,0),IF(LOWER(TRIM($F20))="male",1,2)),_xlpm.coverage,VALUE(SUBSTITUTE(SUBSTITUTE($S20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0" s="80">
        <f t="array" ref="AM20">IFERROR(_xlfn.LET(_xlpm.rate,INDEX(TransAmerica!$B$2:$E$69,MATCH($AE20,TransAmerica!$A$2:$A$69,0),IF(LOWER(TRIM($F20))="male",IF(LOWER(TRIM($K20))="yes",2,1),IF(LOWER(TRIM($K20))="yes",4,3))),_xlpm.coverage,VALUE(SUBSTITUTE(SUBSTITUTE($S20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0" s="80">
        <f t="array" ref="AN20">IFERROR(_xlfn.LET(_xlpm.rate,INDEX('TransAmerica Graded'!$B$2:$E$64,MATCH($AE20,'TransAmerica Graded'!$A$2:$A$64,0),IF(LOWER(TRIM($F20))="male",IF(LOWER(TRIM($K20))="yes",2,1),IF(LOWER(TRIM($K20))="yes",4,3))),_xlpm.coverage,VALUE(SUBSTITUTE(SUBSTITUTE($S20,"$",""),",","")),_xlpm.base,_xlpm.rate*(_xlpm.coverage/1000),_xlpm.fee,_xlfn.XLOOKUP("TransAmerica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0" s="80">
        <f t="array" ref="AO20">IFERROR(_xlfn.LET(_xlpm.rate,INDEX(Corebridge!$B$2:$C$32,MATCH($AE20,Corebridge!$A$2:$A$32,0),IF(LOWER(TRIM($F20))="male",1,2)),_xlpm.coverage,VALUE(SUBSTITUTE(SUBSTITUTE($S20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0" s="80">
        <f t="array" ref="AP20">IFERROR(_xlfn.LET(_xlpm.rate,INDEX(amam!$B$2:$E$37,MATCH($AE20,amam!$A$2:$A$37,0),IF(LOWER(TRIM($F20))="male",IF(LOWER(TRIM($K20))="yes",2,1),IF(LOWER(TRIM($K20))="yes",4,3))),_xlpm.coverage,VALUE(SUBSTITUTE(SUBSTITUTE($S20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0" s="80">
        <f t="array" ref="AQ20">IFERROR(_xlfn.LET(_xlpm.rate,INDEX('amam-graded'!$B$2:$E$37,MATCH($AE20,'amam-graded'!$A$2:$A$37,0),IF(LOWER(TRIM($F20))="male",IF(LOWER(TRIM($K20))="yes",2,1),IF(LOWER(TRIM($K20))="yes",4,3))),_xlpm.coverage,VALUE(SUBSTITUTE(SUBSTITUTE($S20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0" s="80">
        <f t="array" ref="AR20">IFERROR(_xlfn.LET(_xlpm.rate,INDEX('amam-return-or-premium'!$B$2:$E$37,MATCH($AE20,'amam-return-or-premium'!$A$2:$A$37,0),IF(LOWER(TRIM($F20))="male",IF(LOWER(TRIM($K20))="yes",2,1),IF(LOWER(TRIM($K20))="yes",4,3))),_xlpm.coverage,VALUE(SUBSTITUTE(SUBSTITUTE($S20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0" s="80">
        <f t="array" ref="AS20">IFERROR(_xlfn.LET(_xlpm.rate,INDEX(AHL!$B$2:$E$37,MATCH($AE20,AHL!$A$2:$A$37,0),IF(LOWER(TRIM($F20))="male",IF(LOWER(TRIM($K20))="yes",2,1),IF(LOWER(TRIM($K20))="yes",4,3))),_xlpm.coverage,VALUE(SUBSTITUTE(SUBSTITUTE($S20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0" s="80">
        <f t="array" ref="AT20">IFERROR(_xlfn.LET(_xlpm.rate,INDEX('AHL-Graded'!$B$2:$E$32,MATCH($AE20,'AHL-Graded'!$A$2:$A$32,0),IF(LOWER(TRIM($F20))="male",IF(LOWER(TRIM($K20))="yes",2,1),IF(LOWER(TRIM($K20))="yes",4,3))),_xlpm.coverage,VALUE(SUBSTITUTE(SUBSTITUTE($S20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0" s="80">
        <f t="array" ref="AU20">IFERROR(_xlfn.LET(_xlpm.rate,INDEX('Royal Neighbors'!$B$2:$E$37,MATCH($AE20,'Royal Neighbors'!$A$2:$A$37,0),IF(LOWER(TRIM($F20))="male",IF(LOWER(TRIM($K20))="yes",2,1),IF(LOWER(TRIM($K20))="yes",4,3))),_xlpm.coverage,VALUE(SUBSTITUTE(SUBSTITUTE($S20,"$",""),",","")),_xlpm.base,_xlpm.rate*(_xlpm.coverage/1000),_xlpm.fee,_xlfn.XLOOKUP("Royal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0" s="80">
        <f t="array" ref="AV20">IFERROR(_xlfn.LET(_xlpm.rate,INDEX('Royal Neighbors-Graded'!$B$2:$E$37,MATCH($AE20,'Royal Neighbors-Graded'!$A$2:$A$37,0),IF(LOWER(TRIM($F20))="male",IF(LOWER(TRIM($K20))="yes",2,1),IF(LOWER(TRIM($K20))="yes",4,3))),_xlpm.coverage,VALUE(SUBSTITUTE(SUBSTITUTE($S20,"$",""),",","")),_xlpm.base,_xlpm.rate*(_xlpm.coverage/1000),_xlpm.fee,_xlfn.XLOOKUP("Royal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0" s="80">
        <f t="array" ref="AW20">IFERROR(_xlfn.LET(_xlpm.rate,INDEX('Gerber-GI'!$B$2:$C$32,MATCH($AE20,'Gerber-GI'!$A$2:$A$32,0),IF(LOWER(TRIM($F20))="male",1,2)),_xlpm.coverage,VALUE(SUBSTITUTE(SUBSTITUTE($S20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0" s="80">
        <f t="array" ref="AX20">IFERROR(_xlfn.LET(_xlpm.rate,INDEX('Mutual of Omaha'!$B$2:$E$42,MATCH($AE20,'Mutual of Omaha'!$A$2:$A$42,0),IF(LOWER(TRIM($F20))="male",IF(LOWER(TRIM($K20))="yes",2,1),IF(LOWER(TRIM($K20))="yes",4,3))),_xlpm.coverage,VALUE(SUBSTITUTE(SUBSTITUTE($S20,"$",""),",","")),_xlpm.base,_xlpm.rate*(_xlpm.coverage/1000),_xlpm.fee,_xlfn.XLOOKUP("Mutal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0" s="80">
        <f t="array" ref="AY20">IFERROR(_xlfn.LET(_xlpm.rate,INDEX('Mutual of Omaha-Graded'!$B$2:$E$37,MATCH($AE20,'Mutual of Omaha-Graded'!$A$2:$A$37,0),IF(LOWER(TRIM($F20))="male",IF(LOWER(TRIM($K20))="yes",2,1),IF(LOWER(TRIM($K20))="yes",4,3))),_xlpm.coverage,VALUE(SUBSTITUTE(SUBSTITUTE($S20,"$",""),",","")),_xlpm.base,_xlpm.rate*(_xlpm.coverage/1000),_xlpm.fee,_xlfn.XLOOKUP("Mutual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0" s="80">
        <f>AP20</f>
        <v/>
      </c>
      <c r="BA20" s="80">
        <f>IFERROR(IF(AND(AP20&gt;0,AP20&lt;VALUE(SUBSTITUTE(SUBSTITUTE($T20,"$",""),",",""))),VALUE(SUBSTITUTE(SUBSTITUTE($T20,"$",""),",",""))-AP20,""),"")</f>
        <v/>
      </c>
      <c r="BB20" s="80">
        <f>AL20</f>
        <v/>
      </c>
      <c r="BC20" s="80">
        <f>IFERROR(IF(AND(AL20&gt;0,AL20&lt;VALUE(SUBSTITUTE(SUBSTITUTE($T20,"$",""),",",""))),VALUE(SUBSTITUTE(SUBSTITUTE($T20,"$",""),",",""))-AL20,""),"")</f>
        <v/>
      </c>
      <c r="BD20">
        <f t="array" ref="BD20">IFERROR(_xlfn.LET(_xlpm.current,VALUE(SUBSTITUTE(SUBSTITUTE($T20,"$",""),",","")),_xlpm.quotes,AF20:AY20,_xlpm.lowest,_xlfn.MINIFS(_xlpm.quotes,_xlpm.quotes,"&lt;"&amp;_xlpm.current,_xlpm.quotes,"&gt;0"),IF(_xlpm.lowest="","",SUBSTITUTE(INDEX($AF$1:$AY$1,1,MATCH(_xlpm.lowest,_xlpm.quotes,0))," Monthly Quote",""))),"")</f>
        <v/>
      </c>
      <c r="BE20" s="80">
        <f t="array" ref="BE20">IFERROR(_xlfn.LET(_xlpm.current,VALUE(SUBSTITUTE(SUBSTITUTE($T20,"$",""),",","")),_xlpm.quotes,AF20:AY20,_xlpm.lowest,_xlfn.MINIFS(_xlpm.quotes,_xlpm.quotes,"&lt;"&amp;_xlpm.current,_xlpm.quotes,"&gt;0"),IF(_xlpm.lowest="","",_xlpm.current-_xlpm.lowest)),"")</f>
        <v/>
      </c>
    </row>
    <row r="21">
      <c r="A21" s="67" t="inlineStr">
        <is>
          <t>Wilma Jean</t>
        </is>
      </c>
      <c r="B21" s="67" t="inlineStr">
        <is>
          <t>Hocutt</t>
        </is>
      </c>
      <c r="C21" s="68" t="n">
        <v>9193754826</v>
      </c>
      <c r="D21" s="68" t="n">
        <v>74</v>
      </c>
      <c r="E21" s="69" t="n">
        <v>18740</v>
      </c>
      <c r="F21" s="67" t="inlineStr">
        <is>
          <t>Female</t>
        </is>
      </c>
      <c r="G21" s="67" t="inlineStr">
        <is>
          <t>62 Richardson Rd Zebulon, NC 27597</t>
        </is>
      </c>
      <c r="H21" s="67" t="inlineStr">
        <is>
          <t>NC</t>
        </is>
      </c>
      <c r="I21" s="68" t="n">
        <v>5.7</v>
      </c>
      <c r="J21" s="67" t="inlineStr">
        <is>
          <t>200 pounds</t>
        </is>
      </c>
      <c r="K21" s="67" t="inlineStr">
        <is>
          <t>No</t>
        </is>
      </c>
      <c r="L21" s="67" t="inlineStr">
        <is>
          <t>.</t>
        </is>
      </c>
      <c r="M21" s="67" t="inlineStr">
        <is>
          <t>Burial</t>
        </is>
      </c>
      <c r="N21" s="67" t="inlineStr">
        <is>
          <t>Cameron Hocutt: 08/13/1998</t>
        </is>
      </c>
      <c r="O21" s="67" t="inlineStr">
        <is>
          <t>Son</t>
        </is>
      </c>
      <c r="P21" s="67" t="inlineStr">
        <is>
          <t>Shajamie Hocutt: 01/17/1990</t>
        </is>
      </c>
      <c r="Q21" s="67" t="inlineStr">
        <is>
          <t>Duaghter</t>
        </is>
      </c>
      <c r="R21" s="67" t="inlineStr">
        <is>
          <t>RNA</t>
        </is>
      </c>
      <c r="S21" s="70" t="n">
        <v>5000</v>
      </c>
      <c r="T21" s="74" t="n">
        <v>41</v>
      </c>
      <c r="U21" s="69" t="n">
        <v>45971</v>
      </c>
      <c r="V21" s="69" t="n">
        <v>46001</v>
      </c>
      <c r="W21" s="68" t="n">
        <v>241908273</v>
      </c>
      <c r="X21" s="67" t="inlineStr">
        <is>
          <t>nil</t>
        </is>
      </c>
      <c r="Y21" s="67" t="inlineStr">
        <is>
          <t>Truist Bank</t>
        </is>
      </c>
      <c r="Z21" s="68" t="n">
        <v>61000104</v>
      </c>
      <c r="AA21" s="68" t="n">
        <v>592066787</v>
      </c>
      <c r="AB21" s="67" t="inlineStr">
        <is>
          <t>High Blood Pressure High Cholesterol Gout Irritable Bowel Syndrome (IBS) current Thrombosis (Blood Clots) current Indigestion current GERD (Acid Reflux) current</t>
        </is>
      </c>
      <c r="AC21" s="67" t="inlineStr">
        <is>
          <t>Amlodipine Ezetimibe Allopurinol Metoprolol Linzess Eliquis metformin Magnesium Oxide Omeprazole</t>
        </is>
      </c>
      <c r="AD21" s="67" t="inlineStr">
        <is>
          <t>Dr. Gilbert Alligood Jr</t>
        </is>
      </c>
      <c r="AE21" s="68" t="n">
        <v>75</v>
      </c>
      <c r="AF21" s="80">
        <f t="array" ref="AF21">IFERROR(_xlfn.LET(_xlpm.rate,INDEX(aflac!$B$2:$E$37,MATCH($AE21,aflac!$A$2:$A$37,0),IF(LOWER(TRIM($F21))="male",IF(LOWER(TRIM($K21))="yes",2,1),IF(LOWER(TRIM($K21))="yes",4,3))),_xlpm.coverage,VALUE(SUBSTITUTE(SUBSTITUTE($S21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1" s="80">
        <f t="array" ref="AG21">IFERROR(_xlfn.LET(_xlpm.rate,INDEX('aflac-modified'!$B$2:$C$32,MATCH($AE21,'aflac-modified'!$A$2:$A$32,0),IF(LOWER(TRIM($F21))="male",1,2)),_xlpm.coverage,VALUE(SUBSTITUTE(SUBSTITUTE($S21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1" s="80">
        <f t="array" ref="AH21">IFERROR(_xlfn.LET(_xlpm.rate,INDEX(SBLI!$B$2:$E$37,MATCH($AE21,SBLI!$A$2:$A$37,0),IF(LOWER(TRIM($F21))="male",IF(LOWER(TRIM($K21))="yes",2,1),IF(LOWER(TRIM($K21))="yes",4,3))),_xlpm.coverage,VALUE(SUBSTITUTE(SUBSTITUTE($S21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1" s="80">
        <f t="array" ref="AI21">IFERROR(_xlfn.LET(_xlpm.rate,INDEX('SBLI-Modified'!$B$2:$E$27,MATCH($AE21,'SBLI-Modified'!$A$2:$A$27,0),IF(LOWER(TRIM($F21))="male",IF(LOWER(TRIM($K21))="yes",2,1),IF(LOWER(TRIM($K21))="yes",4,3))),_xlpm.coverage,VALUE(SUBSTITUTE(SUBSTITUTE($S21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1" s="80">
        <f t="array" ref="AJ21">IFERROR(_xlfn.LET(_xlpm.rate,INDEX(CICA!$B$2:$C$42,MATCH($AE21,CICA!$A$2:$A$42,0),IF(LOWER(TRIM($F21))="male",1,2)),_xlpm.coverage,VALUE(SUBSTITUTE(SUBSTITUTE($S21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1" s="80">
        <f t="array" ref="AK21">IFERROR(_xlfn.LET(_xlpm.rate,INDEX('CICA-GI'!$B$2:$C$47,MATCH($AE21,'CICA-GI'!$A$2:$A$47,0),IF(LOWER(TRIM($F21))="male",1,2)),_xlpm.coverage,VALUE(SUBSTITUTE(SUBSTITUTE($S21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1" s="80">
        <f t="array" ref="AL21">IFERROR(_xlfn.LET(_xlpm.rate,INDEX(gtl!$B$2:$C$52,MATCH($AE21,gtl!$A$2:$A$52,0),IF(LOWER(TRIM($F21))="male",1,2)),_xlpm.coverage,VALUE(SUBSTITUTE(SUBSTITUTE($S21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1" s="80">
        <f t="array" ref="AM21">IFERROR(_xlfn.LET(_xlpm.rate,INDEX(TransAmerica!$B$2:$E$69,MATCH($AE21,TransAmerica!$A$2:$A$69,0),IF(LOWER(TRIM($F21))="male",IF(LOWER(TRIM($K21))="yes",2,1),IF(LOWER(TRIM($K21))="yes",4,3))),_xlpm.coverage,VALUE(SUBSTITUTE(SUBSTITUTE($S21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1" s="80">
        <f t="array" ref="AN21">IFERROR(_xlfn.LET(_xlpm.rate,INDEX('TransAmerica Graded'!$B$2:$E$64,MATCH($AE21,'TransAmerica Graded'!$A$2:$A$64,0),IF(LOWER(TRIM($F21))="male",IF(LOWER(TRIM($K21))="yes",2,1),IF(LOWER(TRIM($K21))="yes",4,3))),_xlpm.coverage,VALUE(SUBSTITUTE(SUBSTITUTE($S21,"$",""),",","")),_xlpm.base,_xlpm.rate*(_xlpm.coverage/1000),_xlpm.fee,_xlfn.XLOOKUP("TransAmerica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1" s="80">
        <f t="array" ref="AO21">IFERROR(_xlfn.LET(_xlpm.rate,INDEX(Corebridge!$B$2:$C$32,MATCH($AE21,Corebridge!$A$2:$A$32,0),IF(LOWER(TRIM($F21))="male",1,2)),_xlpm.coverage,VALUE(SUBSTITUTE(SUBSTITUTE($S21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1" s="80">
        <f t="array" ref="AP21">IFERROR(_xlfn.LET(_xlpm.rate,INDEX(amam!$B$2:$E$37,MATCH($AE21,amam!$A$2:$A$37,0),IF(LOWER(TRIM($F21))="male",IF(LOWER(TRIM($K21))="yes",2,1),IF(LOWER(TRIM($K21))="yes",4,3))),_xlpm.coverage,VALUE(SUBSTITUTE(SUBSTITUTE($S21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1" s="80">
        <f t="array" ref="AQ21">IFERROR(_xlfn.LET(_xlpm.rate,INDEX('amam-graded'!$B$2:$E$37,MATCH($AE21,'amam-graded'!$A$2:$A$37,0),IF(LOWER(TRIM($F21))="male",IF(LOWER(TRIM($K21))="yes",2,1),IF(LOWER(TRIM($K21))="yes",4,3))),_xlpm.coverage,VALUE(SUBSTITUTE(SUBSTITUTE($S21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1" s="80">
        <f t="array" ref="AR21">IFERROR(_xlfn.LET(_xlpm.rate,INDEX('amam-return-or-premium'!$B$2:$E$37,MATCH($AE21,'amam-return-or-premium'!$A$2:$A$37,0),IF(LOWER(TRIM($F21))="male",IF(LOWER(TRIM($K21))="yes",2,1),IF(LOWER(TRIM($K21))="yes",4,3))),_xlpm.coverage,VALUE(SUBSTITUTE(SUBSTITUTE($S21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1" s="80">
        <f t="array" ref="AS21">IFERROR(_xlfn.LET(_xlpm.rate,INDEX(AHL!$B$2:$E$37,MATCH($AE21,AHL!$A$2:$A$37,0),IF(LOWER(TRIM($F21))="male",IF(LOWER(TRIM($K21))="yes",2,1),IF(LOWER(TRIM($K21))="yes",4,3))),_xlpm.coverage,VALUE(SUBSTITUTE(SUBSTITUTE($S21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1" s="80">
        <f t="array" ref="AT21">IFERROR(_xlfn.LET(_xlpm.rate,INDEX('AHL-Graded'!$B$2:$E$32,MATCH($AE21,'AHL-Graded'!$A$2:$A$32,0),IF(LOWER(TRIM($F21))="male",IF(LOWER(TRIM($K21))="yes",2,1),IF(LOWER(TRIM($K21))="yes",4,3))),_xlpm.coverage,VALUE(SUBSTITUTE(SUBSTITUTE($S21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1" s="80">
        <f t="array" ref="AU21">IFERROR(_xlfn.LET(_xlpm.rate,INDEX('Royal Neighbors'!$B$2:$E$37,MATCH($AE21,'Royal Neighbors'!$A$2:$A$37,0),IF(LOWER(TRIM($F21))="male",IF(LOWER(TRIM($K21))="yes",2,1),IF(LOWER(TRIM($K21))="yes",4,3))),_xlpm.coverage,VALUE(SUBSTITUTE(SUBSTITUTE($S21,"$",""),",","")),_xlpm.base,_xlpm.rate*(_xlpm.coverage/1000),_xlpm.fee,_xlfn.XLOOKUP("Royal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1" s="80">
        <f t="array" ref="AV21">IFERROR(_xlfn.LET(_xlpm.rate,INDEX('Royal Neighbors-Graded'!$B$2:$E$37,MATCH($AE21,'Royal Neighbors-Graded'!$A$2:$A$37,0),IF(LOWER(TRIM($F21))="male",IF(LOWER(TRIM($K21))="yes",2,1),IF(LOWER(TRIM($K21))="yes",4,3))),_xlpm.coverage,VALUE(SUBSTITUTE(SUBSTITUTE($S21,"$",""),",","")),_xlpm.base,_xlpm.rate*(_xlpm.coverage/1000),_xlpm.fee,_xlfn.XLOOKUP("Royal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1" s="80">
        <f t="array" ref="AW21">IFERROR(_xlfn.LET(_xlpm.rate,INDEX('Gerber-GI'!$B$2:$C$32,MATCH($AE21,'Gerber-GI'!$A$2:$A$32,0),IF(LOWER(TRIM($F21))="male",1,2)),_xlpm.coverage,VALUE(SUBSTITUTE(SUBSTITUTE($S21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1" s="80">
        <f t="array" ref="AX21">IFERROR(_xlfn.LET(_xlpm.rate,INDEX('Mutual of Omaha'!$B$2:$E$42,MATCH($AE21,'Mutual of Omaha'!$A$2:$A$42,0),IF(LOWER(TRIM($F21))="male",IF(LOWER(TRIM($K21))="yes",2,1),IF(LOWER(TRIM($K21))="yes",4,3))),_xlpm.coverage,VALUE(SUBSTITUTE(SUBSTITUTE($S21,"$",""),",","")),_xlpm.base,_xlpm.rate*(_xlpm.coverage/1000),_xlpm.fee,_xlfn.XLOOKUP("Mutal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1" s="80">
        <f t="array" ref="AY21">IFERROR(_xlfn.LET(_xlpm.rate,INDEX('Mutual of Omaha-Graded'!$B$2:$E$37,MATCH($AE21,'Mutual of Omaha-Graded'!$A$2:$A$37,0),IF(LOWER(TRIM($F21))="male",IF(LOWER(TRIM($K21))="yes",2,1),IF(LOWER(TRIM($K21))="yes",4,3))),_xlpm.coverage,VALUE(SUBSTITUTE(SUBSTITUTE($S21,"$",""),",","")),_xlpm.base,_xlpm.rate*(_xlpm.coverage/1000),_xlpm.fee,_xlfn.XLOOKUP("Mutual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1" s="80">
        <f>AP21</f>
        <v/>
      </c>
      <c r="BA21" s="80">
        <f>IFERROR(IF(AND(AP21&gt;0,AP21&lt;VALUE(SUBSTITUTE(SUBSTITUTE($T21,"$",""),",",""))),VALUE(SUBSTITUTE(SUBSTITUTE($T21,"$",""),",",""))-AP21,""),"")</f>
        <v/>
      </c>
      <c r="BB21" s="80">
        <f>AL21</f>
        <v/>
      </c>
      <c r="BC21" s="80">
        <f>IFERROR(IF(AND(AL21&gt;0,AL21&lt;VALUE(SUBSTITUTE(SUBSTITUTE($T21,"$",""),",",""))),VALUE(SUBSTITUTE(SUBSTITUTE($T21,"$",""),",",""))-AL21,""),"")</f>
        <v/>
      </c>
      <c r="BD21">
        <f t="array" ref="BD21">IFERROR(_xlfn.LET(_xlpm.current,VALUE(SUBSTITUTE(SUBSTITUTE($T21,"$",""),",","")),_xlpm.quotes,AF21:AY21,_xlpm.lowest,_xlfn.MINIFS(_xlpm.quotes,_xlpm.quotes,"&lt;"&amp;_xlpm.current,_xlpm.quotes,"&gt;0"),IF(_xlpm.lowest="","",SUBSTITUTE(INDEX($AF$1:$AY$1,1,MATCH(_xlpm.lowest,_xlpm.quotes,0))," Monthly Quote",""))),"")</f>
        <v/>
      </c>
      <c r="BE21" s="80">
        <f t="array" ref="BE21">IFERROR(_xlfn.LET(_xlpm.current,VALUE(SUBSTITUTE(SUBSTITUTE($T21,"$",""),",","")),_xlpm.quotes,AF21:AY21,_xlpm.lowest,_xlfn.MINIFS(_xlpm.quotes,_xlpm.quotes,"&lt;"&amp;_xlpm.current,_xlpm.quotes,"&gt;0"),IF(_xlpm.lowest="","",_xlpm.current-_xlpm.lowest)),"")</f>
        <v/>
      </c>
    </row>
    <row r="22">
      <c r="A22" s="67" t="inlineStr">
        <is>
          <t>Freddie Elaine</t>
        </is>
      </c>
      <c r="B22" s="67" t="inlineStr">
        <is>
          <t>smith</t>
        </is>
      </c>
      <c r="C22" s="68" t="n">
        <v>3013065586</v>
      </c>
      <c r="D22" s="68" t="n">
        <v>77</v>
      </c>
      <c r="E22" s="69" t="n">
        <v>17721</v>
      </c>
      <c r="F22" s="67" t="inlineStr">
        <is>
          <t>Female</t>
        </is>
      </c>
      <c r="G22" s="67" t="inlineStr">
        <is>
          <t>6818 Ingraham St Riverdale, MD 20737</t>
        </is>
      </c>
      <c r="H22" s="67" t="inlineStr">
        <is>
          <t>TN</t>
        </is>
      </c>
      <c r="I22" s="68" t="n">
        <v>5.6</v>
      </c>
      <c r="J22" s="68" t="n">
        <v>165</v>
      </c>
      <c r="K22" s="67" t="inlineStr">
        <is>
          <t>No</t>
        </is>
      </c>
      <c r="L22" s="67" t="inlineStr">
        <is>
          <t>.</t>
        </is>
      </c>
      <c r="M22" s="67" t="inlineStr">
        <is>
          <t>Burial</t>
        </is>
      </c>
      <c r="N22" s="67" t="inlineStr">
        <is>
          <t>Robert Smith: (36)</t>
        </is>
      </c>
      <c r="O22" s="67" t="inlineStr">
        <is>
          <t>Brother</t>
        </is>
      </c>
      <c r="P22" s="67" t="inlineStr">
        <is>
          <t>.</t>
        </is>
      </c>
      <c r="Q22" s="67" t="inlineStr">
        <is>
          <t>.</t>
        </is>
      </c>
      <c r="R22" s="67" t="inlineStr">
        <is>
          <t>RNA</t>
        </is>
      </c>
      <c r="S22" s="70" t="n">
        <v>5000</v>
      </c>
      <c r="T22" s="74" t="n">
        <v>51.05</v>
      </c>
      <c r="U22" s="69" t="n">
        <v>45997</v>
      </c>
      <c r="V22" s="69" t="n">
        <v>46028</v>
      </c>
      <c r="W22" s="68" t="n">
        <v>214489258</v>
      </c>
      <c r="X22" s="67" t="inlineStr">
        <is>
          <t>.</t>
        </is>
      </c>
      <c r="Y22" s="67" t="inlineStr">
        <is>
          <t>Bank of America</t>
        </is>
      </c>
      <c r="Z22" s="68" t="n">
        <v>52001633</v>
      </c>
      <c r="AA22" s="68" t="n">
        <v>3915187918</v>
      </c>
      <c r="AB22" s="67" t="inlineStr">
        <is>
          <t>High Blood Pressure hypertenson</t>
        </is>
      </c>
      <c r="AC22" s="67" t="inlineStr">
        <is>
          <t>5 pills</t>
        </is>
      </c>
      <c r="AD22" s="67" t="inlineStr">
        <is>
          <t>Dr. Izzat Chalabi</t>
        </is>
      </c>
      <c r="AE22" s="68" t="n">
        <v>77</v>
      </c>
      <c r="AF22" s="80">
        <f t="array" ref="AF22">IFERROR(_xlfn.LET(_xlpm.rate,INDEX(aflac!$B$2:$E$37,MATCH($AE22,aflac!$A$2:$A$37,0),IF(LOWER(TRIM($F22))="male",IF(LOWER(TRIM($K22))="yes",2,1),IF(LOWER(TRIM($K22))="yes",4,3))),_xlpm.coverage,VALUE(SUBSTITUTE(SUBSTITUTE($S22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2" s="80">
        <f t="array" ref="AG22">IFERROR(_xlfn.LET(_xlpm.rate,INDEX('aflac-modified'!$B$2:$C$32,MATCH($AE22,'aflac-modified'!$A$2:$A$32,0),IF(LOWER(TRIM($F22))="male",1,2)),_xlpm.coverage,VALUE(SUBSTITUTE(SUBSTITUTE($S22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2" s="80">
        <f t="array" ref="AH22">IFERROR(_xlfn.LET(_xlpm.rate,INDEX(SBLI!$B$2:$E$37,MATCH($AE22,SBLI!$A$2:$A$37,0),IF(LOWER(TRIM($F22))="male",IF(LOWER(TRIM($K22))="yes",2,1),IF(LOWER(TRIM($K22))="yes",4,3))),_xlpm.coverage,VALUE(SUBSTITUTE(SUBSTITUTE($S22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2" s="80">
        <f t="array" ref="AI22">IFERROR(_xlfn.LET(_xlpm.rate,INDEX('SBLI-Modified'!$B$2:$E$27,MATCH($AE22,'SBLI-Modified'!$A$2:$A$27,0),IF(LOWER(TRIM($F22))="male",IF(LOWER(TRIM($K22))="yes",2,1),IF(LOWER(TRIM($K22))="yes",4,3))),_xlpm.coverage,VALUE(SUBSTITUTE(SUBSTITUTE($S22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2" s="80">
        <f t="array" ref="AJ22">IFERROR(_xlfn.LET(_xlpm.rate,INDEX(CICA!$B$2:$C$42,MATCH($AE22,CICA!$A$2:$A$42,0),IF(LOWER(TRIM($F22))="male",1,2)),_xlpm.coverage,VALUE(SUBSTITUTE(SUBSTITUTE($S22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2" s="80">
        <f t="array" ref="AK22">IFERROR(_xlfn.LET(_xlpm.rate,INDEX('CICA-GI'!$B$2:$C$47,MATCH($AE22,'CICA-GI'!$A$2:$A$47,0),IF(LOWER(TRIM($F22))="male",1,2)),_xlpm.coverage,VALUE(SUBSTITUTE(SUBSTITUTE($S22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2" s="80">
        <f t="array" ref="AL22">IFERROR(_xlfn.LET(_xlpm.rate,INDEX(gtl!$B$2:$C$52,MATCH($AE22,gtl!$A$2:$A$52,0),IF(LOWER(TRIM($F22))="male",1,2)),_xlpm.coverage,VALUE(SUBSTITUTE(SUBSTITUTE($S22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2" s="80">
        <f t="array" ref="AM22">IFERROR(_xlfn.LET(_xlpm.rate,INDEX(TransAmerica!$B$2:$E$69,MATCH($AE22,TransAmerica!$A$2:$A$69,0),IF(LOWER(TRIM($F22))="male",IF(LOWER(TRIM($K22))="yes",2,1),IF(LOWER(TRIM($K22))="yes",4,3))),_xlpm.coverage,VALUE(SUBSTITUTE(SUBSTITUTE($S22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2" s="80">
        <f t="array" ref="AN22">IFERROR(_xlfn.LET(_xlpm.rate,INDEX('TransAmerica Graded'!$B$2:$E$64,MATCH($AE22,'TransAmerica Graded'!$A$2:$A$64,0),IF(LOWER(TRIM($F22))="male",IF(LOWER(TRIM($K22))="yes",2,1),IF(LOWER(TRIM($K22))="yes",4,3))),_xlpm.coverage,VALUE(SUBSTITUTE(SUBSTITUTE($S22,"$",""),",","")),_xlpm.base,_xlpm.rate*(_xlpm.coverage/1000),_xlpm.fee,_xlfn.XLOOKUP("TransAmerica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2" s="80">
        <f t="array" ref="AO22">IFERROR(_xlfn.LET(_xlpm.rate,INDEX(Corebridge!$B$2:$C$32,MATCH($AE22,Corebridge!$A$2:$A$32,0),IF(LOWER(TRIM($F22))="male",1,2)),_xlpm.coverage,VALUE(SUBSTITUTE(SUBSTITUTE($S22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2" s="80">
        <f t="array" ref="AP22">IFERROR(_xlfn.LET(_xlpm.rate,INDEX(amam!$B$2:$E$37,MATCH($AE22,amam!$A$2:$A$37,0),IF(LOWER(TRIM($F22))="male",IF(LOWER(TRIM($K22))="yes",2,1),IF(LOWER(TRIM($K22))="yes",4,3))),_xlpm.coverage,VALUE(SUBSTITUTE(SUBSTITUTE($S22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2" s="80">
        <f t="array" ref="AQ22">IFERROR(_xlfn.LET(_xlpm.rate,INDEX('amam-graded'!$B$2:$E$37,MATCH($AE22,'amam-graded'!$A$2:$A$37,0),IF(LOWER(TRIM($F22))="male",IF(LOWER(TRIM($K22))="yes",2,1),IF(LOWER(TRIM($K22))="yes",4,3))),_xlpm.coverage,VALUE(SUBSTITUTE(SUBSTITUTE($S22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2" s="80">
        <f t="array" ref="AR22">IFERROR(_xlfn.LET(_xlpm.rate,INDEX('amam-return-or-premium'!$B$2:$E$37,MATCH($AE22,'amam-return-or-premium'!$A$2:$A$37,0),IF(LOWER(TRIM($F22))="male",IF(LOWER(TRIM($K22))="yes",2,1),IF(LOWER(TRIM($K22))="yes",4,3))),_xlpm.coverage,VALUE(SUBSTITUTE(SUBSTITUTE($S22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2" s="80">
        <f t="array" ref="AS22">IFERROR(_xlfn.LET(_xlpm.rate,INDEX(AHL!$B$2:$E$37,MATCH($AE22,AHL!$A$2:$A$37,0),IF(LOWER(TRIM($F22))="male",IF(LOWER(TRIM($K22))="yes",2,1),IF(LOWER(TRIM($K22))="yes",4,3))),_xlpm.coverage,VALUE(SUBSTITUTE(SUBSTITUTE($S22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2" s="80">
        <f t="array" ref="AT22">IFERROR(_xlfn.LET(_xlpm.rate,INDEX('AHL-Graded'!$B$2:$E$32,MATCH($AE22,'AHL-Graded'!$A$2:$A$32,0),IF(LOWER(TRIM($F22))="male",IF(LOWER(TRIM($K22))="yes",2,1),IF(LOWER(TRIM($K22))="yes",4,3))),_xlpm.coverage,VALUE(SUBSTITUTE(SUBSTITUTE($S22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2" s="80">
        <f t="array" ref="AU22">IFERROR(_xlfn.LET(_xlpm.rate,INDEX('Royal Neighbors'!$B$2:$E$37,MATCH($AE22,'Royal Neighbors'!$A$2:$A$37,0),IF(LOWER(TRIM($F22))="male",IF(LOWER(TRIM($K22))="yes",2,1),IF(LOWER(TRIM($K22))="yes",4,3))),_xlpm.coverage,VALUE(SUBSTITUTE(SUBSTITUTE($S22,"$",""),",","")),_xlpm.base,_xlpm.rate*(_xlpm.coverage/1000),_xlpm.fee,_xlfn.XLOOKUP("Royal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2" s="80">
        <f t="array" ref="AV22">IFERROR(_xlfn.LET(_xlpm.rate,INDEX('Royal Neighbors-Graded'!$B$2:$E$37,MATCH($AE22,'Royal Neighbors-Graded'!$A$2:$A$37,0),IF(LOWER(TRIM($F22))="male",IF(LOWER(TRIM($K22))="yes",2,1),IF(LOWER(TRIM($K22))="yes",4,3))),_xlpm.coverage,VALUE(SUBSTITUTE(SUBSTITUTE($S22,"$",""),",","")),_xlpm.base,_xlpm.rate*(_xlpm.coverage/1000),_xlpm.fee,_xlfn.XLOOKUP("Royal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2" s="80">
        <f t="array" ref="AW22">IFERROR(_xlfn.LET(_xlpm.rate,INDEX('Gerber-GI'!$B$2:$C$32,MATCH($AE22,'Gerber-GI'!$A$2:$A$32,0),IF(LOWER(TRIM($F22))="male",1,2)),_xlpm.coverage,VALUE(SUBSTITUTE(SUBSTITUTE($S22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2" s="80">
        <f t="array" ref="AX22">IFERROR(_xlfn.LET(_xlpm.rate,INDEX('Mutual of Omaha'!$B$2:$E$42,MATCH($AE22,'Mutual of Omaha'!$A$2:$A$42,0),IF(LOWER(TRIM($F22))="male",IF(LOWER(TRIM($K22))="yes",2,1),IF(LOWER(TRIM($K22))="yes",4,3))),_xlpm.coverage,VALUE(SUBSTITUTE(SUBSTITUTE($S22,"$",""),",","")),_xlpm.base,_xlpm.rate*(_xlpm.coverage/1000),_xlpm.fee,_xlfn.XLOOKUP("Mutal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2" s="80">
        <f t="array" ref="AY22">IFERROR(_xlfn.LET(_xlpm.rate,INDEX('Mutual of Omaha-Graded'!$B$2:$E$37,MATCH($AE22,'Mutual of Omaha-Graded'!$A$2:$A$37,0),IF(LOWER(TRIM($F22))="male",IF(LOWER(TRIM($K22))="yes",2,1),IF(LOWER(TRIM($K22))="yes",4,3))),_xlpm.coverage,VALUE(SUBSTITUTE(SUBSTITUTE($S22,"$",""),",","")),_xlpm.base,_xlpm.rate*(_xlpm.coverage/1000),_xlpm.fee,_xlfn.XLOOKUP("Mutual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2" s="80">
        <f>AP22</f>
        <v/>
      </c>
      <c r="BA22" s="80">
        <f>IFERROR(IF(AND(AP22&gt;0,AP22&lt;VALUE(SUBSTITUTE(SUBSTITUTE($T22,"$",""),",",""))),VALUE(SUBSTITUTE(SUBSTITUTE($T22,"$",""),",",""))-AP22,""),"")</f>
        <v/>
      </c>
      <c r="BB22" s="80">
        <f>AL22</f>
        <v/>
      </c>
      <c r="BC22" s="80">
        <f>IFERROR(IF(AND(AL22&gt;0,AL22&lt;VALUE(SUBSTITUTE(SUBSTITUTE($T22,"$",""),",",""))),VALUE(SUBSTITUTE(SUBSTITUTE($T22,"$",""),",",""))-AL22,""),"")</f>
        <v/>
      </c>
      <c r="BD22">
        <f t="array" ref="BD22">IFERROR(_xlfn.LET(_xlpm.current,VALUE(SUBSTITUTE(SUBSTITUTE($T22,"$",""),",","")),_xlpm.quotes,AF22:AY22,_xlpm.lowest,_xlfn.MINIFS(_xlpm.quotes,_xlpm.quotes,"&lt;"&amp;_xlpm.current,_xlpm.quotes,"&gt;0"),IF(_xlpm.lowest="","",SUBSTITUTE(INDEX($AF$1:$AY$1,1,MATCH(_xlpm.lowest,_xlpm.quotes,0))," Monthly Quote",""))),"")</f>
        <v/>
      </c>
      <c r="BE22" s="80">
        <f t="array" ref="BE22">IFERROR(_xlfn.LET(_xlpm.current,VALUE(SUBSTITUTE(SUBSTITUTE($T22,"$",""),",","")),_xlpm.quotes,AF22:AY22,_xlpm.lowest,_xlfn.MINIFS(_xlpm.quotes,_xlpm.quotes,"&lt;"&amp;_xlpm.current,_xlpm.quotes,"&gt;0"),IF(_xlpm.lowest="","",_xlpm.current-_xlpm.lowest)),"")</f>
        <v/>
      </c>
    </row>
    <row r="23">
      <c r="A23" s="67" t="inlineStr">
        <is>
          <t>Nelson</t>
        </is>
      </c>
      <c r="B23" s="67" t="inlineStr">
        <is>
          <t>Dalerta</t>
        </is>
      </c>
      <c r="C23" s="68" t="n">
        <v>4155040191</v>
      </c>
      <c r="D23" s="68" t="n">
        <v>71</v>
      </c>
      <c r="E23" s="69" t="n">
        <v>19741</v>
      </c>
      <c r="F23" s="67" t="inlineStr">
        <is>
          <t>Male</t>
        </is>
      </c>
      <c r="G23" s="67" t="inlineStr">
        <is>
          <t>125 Duboce Ave San Francisco CA 94103</t>
        </is>
      </c>
      <c r="H23" s="67" t="inlineStr">
        <is>
          <t>Havana Cuba</t>
        </is>
      </c>
      <c r="I23" s="68" t="n">
        <v>6</v>
      </c>
      <c r="J23" s="68" t="n">
        <v>225</v>
      </c>
      <c r="K23" s="67" t="inlineStr">
        <is>
          <t>No</t>
        </is>
      </c>
      <c r="L23" s="67" t="n"/>
      <c r="M23" s="67" t="inlineStr">
        <is>
          <t>Cremation</t>
        </is>
      </c>
      <c r="N23" s="67" t="inlineStr">
        <is>
          <t>Gyoane Bello: (40)</t>
        </is>
      </c>
      <c r="O23" s="67" t="inlineStr">
        <is>
          <t>Nephew</t>
        </is>
      </c>
      <c r="P23" s="67" t="n"/>
      <c r="Q23" s="67" t="n"/>
      <c r="R23" s="67" t="inlineStr">
        <is>
          <t>RNA</t>
        </is>
      </c>
      <c r="S23" s="70" t="n">
        <v>5000</v>
      </c>
      <c r="T23" s="71" t="n">
        <v>44.65</v>
      </c>
      <c r="U23" s="69" t="n">
        <v>45971</v>
      </c>
      <c r="V23" s="69" t="n">
        <v>46001</v>
      </c>
      <c r="W23" s="68" t="n">
        <v>264952686</v>
      </c>
      <c r="X23" s="67" t="inlineStr">
        <is>
          <t>No</t>
        </is>
      </c>
      <c r="Y23" s="67" t="inlineStr">
        <is>
          <t>BMO</t>
        </is>
      </c>
      <c r="Z23" s="68" t="n">
        <v>71025661</v>
      </c>
      <c r="AA23" s="68" t="n">
        <v>4848565006</v>
      </c>
      <c r="AB23" s="67" t="inlineStr">
        <is>
          <t>no</t>
        </is>
      </c>
      <c r="AC23" s="67" t="inlineStr">
        <is>
          <t>High Blood Pressure (Controlled) Duloxetine Diabetic Neuropathy (Nerve) current Flomax Enlarged Prostate current Acyclovir Herpes current Lisinopril High Blood Pressure (Controlled) current Lyrica Neuropathy (Non-Diabetic) current Zolpidem Insomnia current Omeprazole GERD (Acid Reflux) current</t>
        </is>
      </c>
      <c r="AD23" s="67" t="inlineStr">
        <is>
          <t>Dr. Lisa Capaldini</t>
        </is>
      </c>
      <c r="AE23" s="68" t="n">
        <v>72</v>
      </c>
      <c r="AF23" s="80">
        <f t="array" ref="AF23">IFERROR(_xlfn.LET(_xlpm.rate,INDEX(aflac!$B$2:$E$37,MATCH($AE23,aflac!$A$2:$A$37,0),IF(LOWER(TRIM($F23))="male",IF(LOWER(TRIM($K23))="yes",2,1),IF(LOWER(TRIM($K23))="yes",4,3))),_xlpm.coverage,VALUE(SUBSTITUTE(SUBSTITUTE($S23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3" s="80">
        <f t="array" ref="AG23">IFERROR(_xlfn.LET(_xlpm.rate,INDEX('aflac-modified'!$B$2:$C$32,MATCH($AE23,'aflac-modified'!$A$2:$A$32,0),IF(LOWER(TRIM($F23))="male",1,2)),_xlpm.coverage,VALUE(SUBSTITUTE(SUBSTITUTE($S23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3" s="80">
        <f t="array" ref="AH23">IFERROR(_xlfn.LET(_xlpm.rate,INDEX(SBLI!$B$2:$E$37,MATCH($AE23,SBLI!$A$2:$A$37,0),IF(LOWER(TRIM($F23))="male",IF(LOWER(TRIM($K23))="yes",2,1),IF(LOWER(TRIM($K23))="yes",4,3))),_xlpm.coverage,VALUE(SUBSTITUTE(SUBSTITUTE($S23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3" s="80">
        <f t="array" ref="AI23">IFERROR(_xlfn.LET(_xlpm.rate,INDEX('SBLI-Modified'!$B$2:$E$27,MATCH($AE23,'SBLI-Modified'!$A$2:$A$27,0),IF(LOWER(TRIM($F23))="male",IF(LOWER(TRIM($K23))="yes",2,1),IF(LOWER(TRIM($K23))="yes",4,3))),_xlpm.coverage,VALUE(SUBSTITUTE(SUBSTITUTE($S23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3" s="80">
        <f t="array" ref="AJ23">IFERROR(_xlfn.LET(_xlpm.rate,INDEX(CICA!$B$2:$C$42,MATCH($AE23,CICA!$A$2:$A$42,0),IF(LOWER(TRIM($F23))="male",1,2)),_xlpm.coverage,VALUE(SUBSTITUTE(SUBSTITUTE($S23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3" s="80">
        <f t="array" ref="AK23">IFERROR(_xlfn.LET(_xlpm.rate,INDEX('CICA-GI'!$B$2:$C$47,MATCH($AE23,'CICA-GI'!$A$2:$A$47,0),IF(LOWER(TRIM($F23))="male",1,2)),_xlpm.coverage,VALUE(SUBSTITUTE(SUBSTITUTE($S23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3" s="80">
        <f t="array" ref="AL23">IFERROR(_xlfn.LET(_xlpm.rate,INDEX(gtl!$B$2:$C$52,MATCH($AE23,gtl!$A$2:$A$52,0),IF(LOWER(TRIM($F23))="male",1,2)),_xlpm.coverage,VALUE(SUBSTITUTE(SUBSTITUTE($S23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3" s="80">
        <f t="array" ref="AM23">IFERROR(_xlfn.LET(_xlpm.rate,INDEX(TransAmerica!$B$2:$E$69,MATCH($AE23,TransAmerica!$A$2:$A$69,0),IF(LOWER(TRIM($F23))="male",IF(LOWER(TRIM($K23))="yes",2,1),IF(LOWER(TRIM($K23))="yes",4,3))),_xlpm.coverage,VALUE(SUBSTITUTE(SUBSTITUTE($S23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3" s="80">
        <f t="array" ref="AN23">IFERROR(_xlfn.LET(_xlpm.rate,INDEX('TransAmerica Graded'!$B$2:$E$64,MATCH($AE23,'TransAmerica Graded'!$A$2:$A$64,0),IF(LOWER(TRIM($F23))="male",IF(LOWER(TRIM($K23))="yes",2,1),IF(LOWER(TRIM($K23))="yes",4,3))),_xlpm.coverage,VALUE(SUBSTITUTE(SUBSTITUTE($S23,"$",""),",","")),_xlpm.base,_xlpm.rate*(_xlpm.coverage/1000),_xlpm.fee,_xlfn.XLOOKUP("TransAmerica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3" s="80">
        <f t="array" ref="AO23">IFERROR(_xlfn.LET(_xlpm.rate,INDEX(Corebridge!$B$2:$C$32,MATCH($AE23,Corebridge!$A$2:$A$32,0),IF(LOWER(TRIM($F23))="male",1,2)),_xlpm.coverage,VALUE(SUBSTITUTE(SUBSTITUTE($S23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3" s="80">
        <f t="array" ref="AP23">IFERROR(_xlfn.LET(_xlpm.rate,INDEX(amam!$B$2:$E$37,MATCH($AE23,amam!$A$2:$A$37,0),IF(LOWER(TRIM($F23))="male",IF(LOWER(TRIM($K23))="yes",2,1),IF(LOWER(TRIM($K23))="yes",4,3))),_xlpm.coverage,VALUE(SUBSTITUTE(SUBSTITUTE($S23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3" s="80">
        <f t="array" ref="AQ23">IFERROR(_xlfn.LET(_xlpm.rate,INDEX('amam-graded'!$B$2:$E$37,MATCH($AE23,'amam-graded'!$A$2:$A$37,0),IF(LOWER(TRIM($F23))="male",IF(LOWER(TRIM($K23))="yes",2,1),IF(LOWER(TRIM($K23))="yes",4,3))),_xlpm.coverage,VALUE(SUBSTITUTE(SUBSTITUTE($S23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3" s="80">
        <f t="array" ref="AR23">IFERROR(_xlfn.LET(_xlpm.rate,INDEX('amam-return-or-premium'!$B$2:$E$37,MATCH($AE23,'amam-return-or-premium'!$A$2:$A$37,0),IF(LOWER(TRIM($F23))="male",IF(LOWER(TRIM($K23))="yes",2,1),IF(LOWER(TRIM($K23))="yes",4,3))),_xlpm.coverage,VALUE(SUBSTITUTE(SUBSTITUTE($S23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3" s="80">
        <f t="array" ref="AS23">IFERROR(_xlfn.LET(_xlpm.rate,INDEX(AHL!$B$2:$E$37,MATCH($AE23,AHL!$A$2:$A$37,0),IF(LOWER(TRIM($F23))="male",IF(LOWER(TRIM($K23))="yes",2,1),IF(LOWER(TRIM($K23))="yes",4,3))),_xlpm.coverage,VALUE(SUBSTITUTE(SUBSTITUTE($S23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3" s="80">
        <f t="array" ref="AT23">IFERROR(_xlfn.LET(_xlpm.rate,INDEX('AHL-Graded'!$B$2:$E$32,MATCH($AE23,'AHL-Graded'!$A$2:$A$32,0),IF(LOWER(TRIM($F23))="male",IF(LOWER(TRIM($K23))="yes",2,1),IF(LOWER(TRIM($K23))="yes",4,3))),_xlpm.coverage,VALUE(SUBSTITUTE(SUBSTITUTE($S23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3" s="80">
        <f t="array" ref="AU23">IFERROR(_xlfn.LET(_xlpm.rate,INDEX('Royal Neighbors'!$B$2:$E$37,MATCH($AE23,'Royal Neighbors'!$A$2:$A$37,0),IF(LOWER(TRIM($F23))="male",IF(LOWER(TRIM($K23))="yes",2,1),IF(LOWER(TRIM($K23))="yes",4,3))),_xlpm.coverage,VALUE(SUBSTITUTE(SUBSTITUTE($S23,"$",""),",","")),_xlpm.base,_xlpm.rate*(_xlpm.coverage/1000),_xlpm.fee,_xlfn.XLOOKUP("Royal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3" s="80">
        <f t="array" ref="AV23">IFERROR(_xlfn.LET(_xlpm.rate,INDEX('Royal Neighbors-Graded'!$B$2:$E$37,MATCH($AE23,'Royal Neighbors-Graded'!$A$2:$A$37,0),IF(LOWER(TRIM($F23))="male",IF(LOWER(TRIM($K23))="yes",2,1),IF(LOWER(TRIM($K23))="yes",4,3))),_xlpm.coverage,VALUE(SUBSTITUTE(SUBSTITUTE($S23,"$",""),",","")),_xlpm.base,_xlpm.rate*(_xlpm.coverage/1000),_xlpm.fee,_xlfn.XLOOKUP("Royal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3" s="80">
        <f t="array" ref="AW23">IFERROR(_xlfn.LET(_xlpm.rate,INDEX('Gerber-GI'!$B$2:$C$32,MATCH($AE23,'Gerber-GI'!$A$2:$A$32,0),IF(LOWER(TRIM($F23))="male",1,2)),_xlpm.coverage,VALUE(SUBSTITUTE(SUBSTITUTE($S23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3" s="80">
        <f t="array" ref="AX23">IFERROR(_xlfn.LET(_xlpm.rate,INDEX('Mutual of Omaha'!$B$2:$E$42,MATCH($AE23,'Mutual of Omaha'!$A$2:$A$42,0),IF(LOWER(TRIM($F23))="male",IF(LOWER(TRIM($K23))="yes",2,1),IF(LOWER(TRIM($K23))="yes",4,3))),_xlpm.coverage,VALUE(SUBSTITUTE(SUBSTITUTE($S23,"$",""),",","")),_xlpm.base,_xlpm.rate*(_xlpm.coverage/1000),_xlpm.fee,_xlfn.XLOOKUP("Mutal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3" s="80">
        <f t="array" ref="AY23">IFERROR(_xlfn.LET(_xlpm.rate,INDEX('Mutual of Omaha-Graded'!$B$2:$E$37,MATCH($AE23,'Mutual of Omaha-Graded'!$A$2:$A$37,0),IF(LOWER(TRIM($F23))="male",IF(LOWER(TRIM($K23))="yes",2,1),IF(LOWER(TRIM($K23))="yes",4,3))),_xlpm.coverage,VALUE(SUBSTITUTE(SUBSTITUTE($S23,"$",""),",","")),_xlpm.base,_xlpm.rate*(_xlpm.coverage/1000),_xlpm.fee,_xlfn.XLOOKUP("Mutual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3" s="80">
        <f>AP23</f>
        <v/>
      </c>
      <c r="BA23" s="80">
        <f>IFERROR(IF(AND(AP23&gt;0,AP23&lt;VALUE(SUBSTITUTE(SUBSTITUTE($T23,"$",""),",",""))),VALUE(SUBSTITUTE(SUBSTITUTE($T23,"$",""),",",""))-AP23,""),"")</f>
        <v/>
      </c>
      <c r="BB23" s="80">
        <f>AL23</f>
        <v/>
      </c>
      <c r="BC23" s="80">
        <f>IFERROR(IF(AND(AL23&gt;0,AL23&lt;VALUE(SUBSTITUTE(SUBSTITUTE($T23,"$",""),",",""))),VALUE(SUBSTITUTE(SUBSTITUTE($T23,"$",""),",",""))-AL23,""),"")</f>
        <v/>
      </c>
      <c r="BD23">
        <f t="array" ref="BD23">IFERROR(_xlfn.LET(_xlpm.current,VALUE(SUBSTITUTE(SUBSTITUTE($T23,"$",""),",","")),_xlpm.quotes,AF23:AY23,_xlpm.lowest,_xlfn.MINIFS(_xlpm.quotes,_xlpm.quotes,"&lt;"&amp;_xlpm.current,_xlpm.quotes,"&gt;0"),IF(_xlpm.lowest="","",SUBSTITUTE(INDEX($AF$1:$AY$1,1,MATCH(_xlpm.lowest,_xlpm.quotes,0))," Monthly Quote",""))),"")</f>
        <v/>
      </c>
      <c r="BE23" s="80">
        <f t="array" ref="BE23">IFERROR(_xlfn.LET(_xlpm.current,VALUE(SUBSTITUTE(SUBSTITUTE($T23,"$",""),",","")),_xlpm.quotes,AF23:AY23,_xlpm.lowest,_xlfn.MINIFS(_xlpm.quotes,_xlpm.quotes,"&lt;"&amp;_xlpm.current,_xlpm.quotes,"&gt;0"),IF(_xlpm.lowest="","",_xlpm.current-_xlpm.lowest)),"")</f>
        <v/>
      </c>
    </row>
    <row r="24">
      <c r="A24" s="63" t="inlineStr">
        <is>
          <t>Myrna A</t>
        </is>
      </c>
      <c r="B24" s="63" t="inlineStr">
        <is>
          <t>Wetch</t>
        </is>
      </c>
      <c r="C24" s="64" t="n">
        <v>7012235163</v>
      </c>
      <c r="D24" s="64" t="n">
        <v>77</v>
      </c>
      <c r="E24" s="65" t="n">
        <v>17713</v>
      </c>
      <c r="F24" s="63" t="inlineStr">
        <is>
          <t>Female</t>
        </is>
      </c>
      <c r="G24" s="63" t="inlineStr">
        <is>
          <t>818 N 18th St Bismarck ND 58501</t>
        </is>
      </c>
      <c r="H24" s="63" t="inlineStr">
        <is>
          <t>ND</t>
        </is>
      </c>
      <c r="I24" s="64" t="n">
        <v>5.2</v>
      </c>
      <c r="J24" s="64" t="n">
        <v>140</v>
      </c>
      <c r="K24" s="63" t="inlineStr">
        <is>
          <t>No</t>
        </is>
      </c>
      <c r="L24" s="63" t="inlineStr">
        <is>
          <t>.</t>
        </is>
      </c>
      <c r="M24" s="63" t="inlineStr">
        <is>
          <t>Burial</t>
        </is>
      </c>
      <c r="N24" s="63" t="inlineStr">
        <is>
          <t>Christopher Wetch: 07/25/1980</t>
        </is>
      </c>
      <c r="O24" s="63" t="inlineStr">
        <is>
          <t>Son</t>
        </is>
      </c>
      <c r="P24" s="63" t="inlineStr">
        <is>
          <t>.</t>
        </is>
      </c>
      <c r="Q24" s="63" t="inlineStr">
        <is>
          <t>.</t>
        </is>
      </c>
      <c r="R24" s="63" t="inlineStr">
        <is>
          <t>RNA</t>
        </is>
      </c>
      <c r="S24" s="66" t="n">
        <v>5000</v>
      </c>
      <c r="T24" s="64" t="n">
        <v>51.05</v>
      </c>
      <c r="U24" s="65" t="n">
        <v>45996</v>
      </c>
      <c r="V24" s="65" t="n">
        <v>45996</v>
      </c>
      <c r="W24" s="64" t="n">
        <v>501527554</v>
      </c>
      <c r="X24" s="63" t="inlineStr">
        <is>
          <t>Drive: WET-48-2754 EXP: 06/29/2030</t>
        </is>
      </c>
      <c r="Y24" s="63" t="inlineStr">
        <is>
          <t>Capital Credit Union</t>
        </is>
      </c>
      <c r="Z24" s="64" t="n">
        <v>291378130</v>
      </c>
      <c r="AA24" s="64" t="n">
        <v>4606000</v>
      </c>
      <c r="AB24" s="63" t="inlineStr">
        <is>
          <t>Omeprazole Ulcer current Levothyroxine Thyroid Disorder current Amitriptyline Migraines current Eliquis Atrial Fibrillation (AFIB) current</t>
        </is>
      </c>
      <c r="AC24" s="63" t="inlineStr">
        <is>
          <t>Omeprazole Ulcer current Levothyroxine Thyroid Disorder current Amitriptyline Migraines current Eliquis Atrial Fibrillation (AFIB) current</t>
        </is>
      </c>
      <c r="AD24" s="63" t="inlineStr">
        <is>
          <t>Omeprazole Ulcer current Levothyroxine Thyroid Disorder current Amitriptyline Migraines current Eliquis Atrial Fibrillation (AFIB) current</t>
        </is>
      </c>
      <c r="AE24" s="64" t="n">
        <v>77</v>
      </c>
      <c r="AF24" s="80">
        <f t="array" ref="AF24">IFERROR(_xlfn.LET(_xlpm.rate,INDEX(aflac!$B$2:$E$37,MATCH($AE24,aflac!$A$2:$A$37,0),IF(LOWER(TRIM($F24))="male",IF(LOWER(TRIM($K24))="yes",2,1),IF(LOWER(TRIM($K24))="yes",4,3))),_xlpm.coverage,VALUE(SUBSTITUTE(SUBSTITUTE($S24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4" s="80">
        <f t="array" ref="AG24">IFERROR(_xlfn.LET(_xlpm.rate,INDEX('aflac-modified'!$B$2:$C$32,MATCH($AE24,'aflac-modified'!$A$2:$A$32,0),IF(LOWER(TRIM($F24))="male",1,2)),_xlpm.coverage,VALUE(SUBSTITUTE(SUBSTITUTE($S24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4" s="80">
        <f t="array" ref="AH24">IFERROR(_xlfn.LET(_xlpm.rate,INDEX(SBLI!$B$2:$E$37,MATCH($AE24,SBLI!$A$2:$A$37,0),IF(LOWER(TRIM($F24))="male",IF(LOWER(TRIM($K24))="yes",2,1),IF(LOWER(TRIM($K24))="yes",4,3))),_xlpm.coverage,VALUE(SUBSTITUTE(SUBSTITUTE($S24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4" s="80">
        <f t="array" ref="AI24">IFERROR(_xlfn.LET(_xlpm.rate,INDEX('SBLI-Modified'!$B$2:$E$27,MATCH($AE24,'SBLI-Modified'!$A$2:$A$27,0),IF(LOWER(TRIM($F24))="male",IF(LOWER(TRIM($K24))="yes",2,1),IF(LOWER(TRIM($K24))="yes",4,3))),_xlpm.coverage,VALUE(SUBSTITUTE(SUBSTITUTE($S24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4" s="80">
        <f t="array" ref="AJ24">IFERROR(_xlfn.LET(_xlpm.rate,INDEX(CICA!$B$2:$C$42,MATCH($AE24,CICA!$A$2:$A$42,0),IF(LOWER(TRIM($F24))="male",1,2)),_xlpm.coverage,VALUE(SUBSTITUTE(SUBSTITUTE($S24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4" s="80">
        <f t="array" ref="AK24">IFERROR(_xlfn.LET(_xlpm.rate,INDEX('CICA-GI'!$B$2:$C$47,MATCH($AE24,'CICA-GI'!$A$2:$A$47,0),IF(LOWER(TRIM($F24))="male",1,2)),_xlpm.coverage,VALUE(SUBSTITUTE(SUBSTITUTE($S24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4" s="80">
        <f t="array" ref="AL24">IFERROR(_xlfn.LET(_xlpm.rate,INDEX(gtl!$B$2:$C$52,MATCH($AE24,gtl!$A$2:$A$52,0),IF(LOWER(TRIM($F24))="male",1,2)),_xlpm.coverage,VALUE(SUBSTITUTE(SUBSTITUTE($S24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4" s="80">
        <f t="array" ref="AM24">IFERROR(_xlfn.LET(_xlpm.rate,INDEX(TransAmerica!$B$2:$E$69,MATCH($AE24,TransAmerica!$A$2:$A$69,0),IF(LOWER(TRIM($F24))="male",IF(LOWER(TRIM($K24))="yes",2,1),IF(LOWER(TRIM($K24))="yes",4,3))),_xlpm.coverage,VALUE(SUBSTITUTE(SUBSTITUTE($S24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4" s="80">
        <f t="array" ref="AN24">IFERROR(_xlfn.LET(_xlpm.rate,INDEX('TransAmerica Graded'!$B$2:$E$64,MATCH($AE24,'TransAmerica Graded'!$A$2:$A$64,0),IF(LOWER(TRIM($F24))="male",IF(LOWER(TRIM($K24))="yes",2,1),IF(LOWER(TRIM($K24))="yes",4,3))),_xlpm.coverage,VALUE(SUBSTITUTE(SUBSTITUTE($S24,"$",""),",","")),_xlpm.base,_xlpm.rate*(_xlpm.coverage/1000),_xlpm.fee,_xlfn.XLOOKUP("TransAmerica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4" s="80">
        <f t="array" ref="AO24">IFERROR(_xlfn.LET(_xlpm.rate,INDEX(Corebridge!$B$2:$C$32,MATCH($AE24,Corebridge!$A$2:$A$32,0),IF(LOWER(TRIM($F24))="male",1,2)),_xlpm.coverage,VALUE(SUBSTITUTE(SUBSTITUTE($S24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4" s="80">
        <f t="array" ref="AP24">IFERROR(_xlfn.LET(_xlpm.rate,INDEX(amam!$B$2:$E$37,MATCH($AE24,amam!$A$2:$A$37,0),IF(LOWER(TRIM($F24))="male",IF(LOWER(TRIM($K24))="yes",2,1),IF(LOWER(TRIM($K24))="yes",4,3))),_xlpm.coverage,VALUE(SUBSTITUTE(SUBSTITUTE($S24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4" s="80">
        <f t="array" ref="AQ24">IFERROR(_xlfn.LET(_xlpm.rate,INDEX('amam-graded'!$B$2:$E$37,MATCH($AE24,'amam-graded'!$A$2:$A$37,0),IF(LOWER(TRIM($F24))="male",IF(LOWER(TRIM($K24))="yes",2,1),IF(LOWER(TRIM($K24))="yes",4,3))),_xlpm.coverage,VALUE(SUBSTITUTE(SUBSTITUTE($S24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4" s="80">
        <f t="array" ref="AR24">IFERROR(_xlfn.LET(_xlpm.rate,INDEX('amam-return-or-premium'!$B$2:$E$37,MATCH($AE24,'amam-return-or-premium'!$A$2:$A$37,0),IF(LOWER(TRIM($F24))="male",IF(LOWER(TRIM($K24))="yes",2,1),IF(LOWER(TRIM($K24))="yes",4,3))),_xlpm.coverage,VALUE(SUBSTITUTE(SUBSTITUTE($S24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4" s="80">
        <f t="array" ref="AS24">IFERROR(_xlfn.LET(_xlpm.rate,INDEX(AHL!$B$2:$E$37,MATCH($AE24,AHL!$A$2:$A$37,0),IF(LOWER(TRIM($F24))="male",IF(LOWER(TRIM($K24))="yes",2,1),IF(LOWER(TRIM($K24))="yes",4,3))),_xlpm.coverage,VALUE(SUBSTITUTE(SUBSTITUTE($S24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4" s="80">
        <f t="array" ref="AT24">IFERROR(_xlfn.LET(_xlpm.rate,INDEX('AHL-Graded'!$B$2:$E$32,MATCH($AE24,'AHL-Graded'!$A$2:$A$32,0),IF(LOWER(TRIM($F24))="male",IF(LOWER(TRIM($K24))="yes",2,1),IF(LOWER(TRIM($K24))="yes",4,3))),_xlpm.coverage,VALUE(SUBSTITUTE(SUBSTITUTE($S24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4" s="80">
        <f t="array" ref="AU24">IFERROR(_xlfn.LET(_xlpm.rate,INDEX('Royal Neighbors'!$B$2:$E$37,MATCH($AE24,'Royal Neighbors'!$A$2:$A$37,0),IF(LOWER(TRIM($F24))="male",IF(LOWER(TRIM($K24))="yes",2,1),IF(LOWER(TRIM($K24))="yes",4,3))),_xlpm.coverage,VALUE(SUBSTITUTE(SUBSTITUTE($S24,"$",""),",","")),_xlpm.base,_xlpm.rate*(_xlpm.coverage/1000),_xlpm.fee,_xlfn.XLOOKUP("Royal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4" s="80">
        <f t="array" ref="AV24">IFERROR(_xlfn.LET(_xlpm.rate,INDEX('Royal Neighbors-Graded'!$B$2:$E$37,MATCH($AE24,'Royal Neighbors-Graded'!$A$2:$A$37,0),IF(LOWER(TRIM($F24))="male",IF(LOWER(TRIM($K24))="yes",2,1),IF(LOWER(TRIM($K24))="yes",4,3))),_xlpm.coverage,VALUE(SUBSTITUTE(SUBSTITUTE($S24,"$",""),",","")),_xlpm.base,_xlpm.rate*(_xlpm.coverage/1000),_xlpm.fee,_xlfn.XLOOKUP("Royal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4" s="80">
        <f t="array" ref="AW24">IFERROR(_xlfn.LET(_xlpm.rate,INDEX('Gerber-GI'!$B$2:$C$32,MATCH($AE24,'Gerber-GI'!$A$2:$A$32,0),IF(LOWER(TRIM($F24))="male",1,2)),_xlpm.coverage,VALUE(SUBSTITUTE(SUBSTITUTE($S24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4" s="80">
        <f t="array" ref="AX24">IFERROR(_xlfn.LET(_xlpm.rate,INDEX('Mutual of Omaha'!$B$2:$E$42,MATCH($AE24,'Mutual of Omaha'!$A$2:$A$42,0),IF(LOWER(TRIM($F24))="male",IF(LOWER(TRIM($K24))="yes",2,1),IF(LOWER(TRIM($K24))="yes",4,3))),_xlpm.coverage,VALUE(SUBSTITUTE(SUBSTITUTE($S24,"$",""),",","")),_xlpm.base,_xlpm.rate*(_xlpm.coverage/1000),_xlpm.fee,_xlfn.XLOOKUP("Mutal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4" s="80">
        <f t="array" ref="AY24">IFERROR(_xlfn.LET(_xlpm.rate,INDEX('Mutual of Omaha-Graded'!$B$2:$E$37,MATCH($AE24,'Mutual of Omaha-Graded'!$A$2:$A$37,0),IF(LOWER(TRIM($F24))="male",IF(LOWER(TRIM($K24))="yes",2,1),IF(LOWER(TRIM($K24))="yes",4,3))),_xlpm.coverage,VALUE(SUBSTITUTE(SUBSTITUTE($S24,"$",""),",","")),_xlpm.base,_xlpm.rate*(_xlpm.coverage/1000),_xlpm.fee,_xlfn.XLOOKUP("Mutual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4" s="80">
        <f>AP24</f>
        <v/>
      </c>
      <c r="BA24" s="80">
        <f>IFERROR(IF(AND(AP24&gt;0,AP24&lt;VALUE(SUBSTITUTE(SUBSTITUTE($T24,"$",""),",",""))),VALUE(SUBSTITUTE(SUBSTITUTE($T24,"$",""),",",""))-AP24,""),"")</f>
        <v/>
      </c>
      <c r="BB24" s="80">
        <f>AL24</f>
        <v/>
      </c>
      <c r="BC24" s="80">
        <f>IFERROR(IF(AND(AL24&gt;0,AL24&lt;VALUE(SUBSTITUTE(SUBSTITUTE($T24,"$",""),",",""))),VALUE(SUBSTITUTE(SUBSTITUTE($T24,"$",""),",",""))-AL24,""),"")</f>
        <v/>
      </c>
      <c r="BD24">
        <f t="array" ref="BD24">IFERROR(_xlfn.LET(_xlpm.current,VALUE(SUBSTITUTE(SUBSTITUTE($T24,"$",""),",","")),_xlpm.quotes,AF24:AY24,_xlpm.lowest,_xlfn.MINIFS(_xlpm.quotes,_xlpm.quotes,"&lt;"&amp;_xlpm.current,_xlpm.quotes,"&gt;0"),IF(_xlpm.lowest="","",SUBSTITUTE(INDEX($AF$1:$AY$1,1,MATCH(_xlpm.lowest,_xlpm.quotes,0))," Monthly Quote",""))),"")</f>
        <v/>
      </c>
      <c r="BE24" s="80">
        <f t="array" ref="BE24">IFERROR(_xlfn.LET(_xlpm.current,VALUE(SUBSTITUTE(SUBSTITUTE($T24,"$",""),",","")),_xlpm.quotes,AF24:AY24,_xlpm.lowest,_xlfn.MINIFS(_xlpm.quotes,_xlpm.quotes,"&lt;"&amp;_xlpm.current,_xlpm.quotes,"&gt;0"),IF(_xlpm.lowest="","",_xlpm.current-_xlpm.lowest)),"")</f>
        <v/>
      </c>
    </row>
    <row r="25">
      <c r="A25" s="67" t="inlineStr">
        <is>
          <t>Vicki A</t>
        </is>
      </c>
      <c r="B25" s="67" t="inlineStr">
        <is>
          <t>Landes</t>
        </is>
      </c>
      <c r="C25" s="68" t="n">
        <v>4085449187</v>
      </c>
      <c r="D25" s="68" t="n">
        <v>67</v>
      </c>
      <c r="E25" s="69" t="n">
        <v>21272</v>
      </c>
      <c r="F25" s="67" t="inlineStr">
        <is>
          <t>Female</t>
        </is>
      </c>
      <c r="G25" s="67" t="inlineStr">
        <is>
          <t>2753 Wilbur Ave San Jose, CA 95127</t>
        </is>
      </c>
      <c r="H25" s="67" t="inlineStr">
        <is>
          <t>CA</t>
        </is>
      </c>
      <c r="I25" s="68" t="n">
        <v>5.6</v>
      </c>
      <c r="J25" s="68" t="n">
        <v>119</v>
      </c>
      <c r="K25" s="67" t="inlineStr">
        <is>
          <t>No</t>
        </is>
      </c>
      <c r="L25" s="67" t="n"/>
      <c r="M25" s="67" t="inlineStr">
        <is>
          <t>Cremation</t>
        </is>
      </c>
      <c r="N25" s="67" t="inlineStr">
        <is>
          <t>(Mark Alman - 66)</t>
        </is>
      </c>
      <c r="O25" s="67" t="inlineStr">
        <is>
          <t>Brother in Law</t>
        </is>
      </c>
      <c r="P25" s="67" t="inlineStr">
        <is>
          <t>(Tom Landes - 70)</t>
        </is>
      </c>
      <c r="Q25" s="67" t="inlineStr">
        <is>
          <t>Brother</t>
        </is>
      </c>
      <c r="R25" s="67" t="inlineStr">
        <is>
          <t>RNA</t>
        </is>
      </c>
      <c r="S25" s="70" t="n">
        <v>3000</v>
      </c>
      <c r="T25" s="68" t="n">
        <v>33.27</v>
      </c>
      <c r="U25" s="69" t="n">
        <v>45994</v>
      </c>
      <c r="V25" s="69" t="n">
        <v>46025</v>
      </c>
      <c r="W25" s="68" t="n">
        <v>564359382</v>
      </c>
      <c r="X25" s="67" t="inlineStr">
        <is>
          <t>no</t>
        </is>
      </c>
      <c r="Y25" s="67" t="inlineStr">
        <is>
          <t>Wells Fargo</t>
        </is>
      </c>
      <c r="Z25" s="68" t="n">
        <v>121042882</v>
      </c>
      <c r="AA25" s="68" t="n">
        <v>5045044400</v>
      </c>
      <c r="AB25" s="67" t="inlineStr">
        <is>
          <t>Depression Anxiety Cholesterol Gerd</t>
        </is>
      </c>
      <c r="AC25" s="67" t="inlineStr">
        <is>
          <t>7 Pills</t>
        </is>
      </c>
      <c r="AD25" s="67" t="inlineStr">
        <is>
          <t>Yang Cao - My Doctor Online - Kaiser Permanente</t>
        </is>
      </c>
      <c r="AE25" s="68" t="n">
        <v>68</v>
      </c>
      <c r="AF25" s="80">
        <f t="array" ref="AF25">IFERROR(_xlfn.LET(_xlpm.rate,INDEX(aflac!$B$2:$E$37,MATCH($AE25,aflac!$A$2:$A$37,0),IF(LOWER(TRIM($F25))="male",IF(LOWER(TRIM($K25))="yes",2,1),IF(LOWER(TRIM($K25))="yes",4,3))),_xlpm.coverage,VALUE(SUBSTITUTE(SUBSTITUTE($S25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5" s="80">
        <f t="array" ref="AG25">IFERROR(_xlfn.LET(_xlpm.rate,INDEX('aflac-modified'!$B$2:$C$32,MATCH($AE25,'aflac-modified'!$A$2:$A$32,0),IF(LOWER(TRIM($F25))="male",1,2)),_xlpm.coverage,VALUE(SUBSTITUTE(SUBSTITUTE($S25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5" s="80">
        <f t="array" ref="AH25">IFERROR(_xlfn.LET(_xlpm.rate,INDEX(SBLI!$B$2:$E$37,MATCH($AE25,SBLI!$A$2:$A$37,0),IF(LOWER(TRIM($F25))="male",IF(LOWER(TRIM($K25))="yes",2,1),IF(LOWER(TRIM($K25))="yes",4,3))),_xlpm.coverage,VALUE(SUBSTITUTE(SUBSTITUTE($S25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5" s="80">
        <f t="array" ref="AI25">IFERROR(_xlfn.LET(_xlpm.rate,INDEX('SBLI-Modified'!$B$2:$E$27,MATCH($AE25,'SBLI-Modified'!$A$2:$A$27,0),IF(LOWER(TRIM($F25))="male",IF(LOWER(TRIM($K25))="yes",2,1),IF(LOWER(TRIM($K25))="yes",4,3))),_xlpm.coverage,VALUE(SUBSTITUTE(SUBSTITUTE($S25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5" s="80">
        <f t="array" ref="AJ25">IFERROR(_xlfn.LET(_xlpm.rate,INDEX(CICA!$B$2:$C$42,MATCH($AE25,CICA!$A$2:$A$42,0),IF(LOWER(TRIM($F25))="male",1,2)),_xlpm.coverage,VALUE(SUBSTITUTE(SUBSTITUTE($S25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5" s="80">
        <f t="array" ref="AK25">IFERROR(_xlfn.LET(_xlpm.rate,INDEX('CICA-GI'!$B$2:$C$47,MATCH($AE25,'CICA-GI'!$A$2:$A$47,0),IF(LOWER(TRIM($F25))="male",1,2)),_xlpm.coverage,VALUE(SUBSTITUTE(SUBSTITUTE($S25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5" s="80">
        <f t="array" ref="AL25">IFERROR(_xlfn.LET(_xlpm.rate,INDEX(gtl!$B$2:$C$52,MATCH($AE25,gtl!$A$2:$A$52,0),IF(LOWER(TRIM($F25))="male",1,2)),_xlpm.coverage,VALUE(SUBSTITUTE(SUBSTITUTE($S25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5" s="80">
        <f t="array" ref="AM25">IFERROR(_xlfn.LET(_xlpm.rate,INDEX(TransAmerica!$B$2:$E$69,MATCH($AE25,TransAmerica!$A$2:$A$69,0),IF(LOWER(TRIM($F25))="male",IF(LOWER(TRIM($K25))="yes",2,1),IF(LOWER(TRIM($K25))="yes",4,3))),_xlpm.coverage,VALUE(SUBSTITUTE(SUBSTITUTE($S25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5" s="80">
        <f t="array" ref="AN25">IFERROR(_xlfn.LET(_xlpm.rate,INDEX('TransAmerica Graded'!$B$2:$E$64,MATCH($AE25,'TransAmerica Graded'!$A$2:$A$64,0),IF(LOWER(TRIM($F25))="male",IF(LOWER(TRIM($K25))="yes",2,1),IF(LOWER(TRIM($K25))="yes",4,3))),_xlpm.coverage,VALUE(SUBSTITUTE(SUBSTITUTE($S25,"$",""),",","")),_xlpm.base,_xlpm.rate*(_xlpm.coverage/1000),_xlpm.fee,_xlfn.XLOOKUP("TransAmerica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5" s="80">
        <f t="array" ref="AO25">IFERROR(_xlfn.LET(_xlpm.rate,INDEX(Corebridge!$B$2:$C$32,MATCH($AE25,Corebridge!$A$2:$A$32,0),IF(LOWER(TRIM($F25))="male",1,2)),_xlpm.coverage,VALUE(SUBSTITUTE(SUBSTITUTE($S25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5" s="80">
        <f t="array" ref="AP25">IFERROR(_xlfn.LET(_xlpm.rate,INDEX(amam!$B$2:$E$37,MATCH($AE25,amam!$A$2:$A$37,0),IF(LOWER(TRIM($F25))="male",IF(LOWER(TRIM($K25))="yes",2,1),IF(LOWER(TRIM($K25))="yes",4,3))),_xlpm.coverage,VALUE(SUBSTITUTE(SUBSTITUTE($S25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5" s="80">
        <f t="array" ref="AQ25">IFERROR(_xlfn.LET(_xlpm.rate,INDEX('amam-graded'!$B$2:$E$37,MATCH($AE25,'amam-graded'!$A$2:$A$37,0),IF(LOWER(TRIM($F25))="male",IF(LOWER(TRIM($K25))="yes",2,1),IF(LOWER(TRIM($K25))="yes",4,3))),_xlpm.coverage,VALUE(SUBSTITUTE(SUBSTITUTE($S25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5" s="80">
        <f t="array" ref="AR25">IFERROR(_xlfn.LET(_xlpm.rate,INDEX('amam-return-or-premium'!$B$2:$E$37,MATCH($AE25,'amam-return-or-premium'!$A$2:$A$37,0),IF(LOWER(TRIM($F25))="male",IF(LOWER(TRIM($K25))="yes",2,1),IF(LOWER(TRIM($K25))="yes",4,3))),_xlpm.coverage,VALUE(SUBSTITUTE(SUBSTITUTE($S25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5" s="80">
        <f t="array" ref="AS25">IFERROR(_xlfn.LET(_xlpm.rate,INDEX(AHL!$B$2:$E$37,MATCH($AE25,AHL!$A$2:$A$37,0),IF(LOWER(TRIM($F25))="male",IF(LOWER(TRIM($K25))="yes",2,1),IF(LOWER(TRIM($K25))="yes",4,3))),_xlpm.coverage,VALUE(SUBSTITUTE(SUBSTITUTE($S25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5" s="80">
        <f t="array" ref="AT25">IFERROR(_xlfn.LET(_xlpm.rate,INDEX('AHL-Graded'!$B$2:$E$32,MATCH($AE25,'AHL-Graded'!$A$2:$A$32,0),IF(LOWER(TRIM($F25))="male",IF(LOWER(TRIM($K25))="yes",2,1),IF(LOWER(TRIM($K25))="yes",4,3))),_xlpm.coverage,VALUE(SUBSTITUTE(SUBSTITUTE($S25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5" s="80">
        <f t="array" ref="AU25">IFERROR(_xlfn.LET(_xlpm.rate,INDEX('Royal Neighbors'!$B$2:$E$37,MATCH($AE25,'Royal Neighbors'!$A$2:$A$37,0),IF(LOWER(TRIM($F25))="male",IF(LOWER(TRIM($K25))="yes",2,1),IF(LOWER(TRIM($K25))="yes",4,3))),_xlpm.coverage,VALUE(SUBSTITUTE(SUBSTITUTE($S25,"$",""),",","")),_xlpm.base,_xlpm.rate*(_xlpm.coverage/1000),_xlpm.fee,_xlfn.XLOOKUP("Royal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5" s="80">
        <f t="array" ref="AV25">IFERROR(_xlfn.LET(_xlpm.rate,INDEX('Royal Neighbors-Graded'!$B$2:$E$37,MATCH($AE25,'Royal Neighbors-Graded'!$A$2:$A$37,0),IF(LOWER(TRIM($F25))="male",IF(LOWER(TRIM($K25))="yes",2,1),IF(LOWER(TRIM($K25))="yes",4,3))),_xlpm.coverage,VALUE(SUBSTITUTE(SUBSTITUTE($S25,"$",""),",","")),_xlpm.base,_xlpm.rate*(_xlpm.coverage/1000),_xlpm.fee,_xlfn.XLOOKUP("Royal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5" s="80">
        <f t="array" ref="AW25">IFERROR(_xlfn.LET(_xlpm.rate,INDEX('Gerber-GI'!$B$2:$C$32,MATCH($AE25,'Gerber-GI'!$A$2:$A$32,0),IF(LOWER(TRIM($F25))="male",1,2)),_xlpm.coverage,VALUE(SUBSTITUTE(SUBSTITUTE($S25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5" s="80">
        <f t="array" ref="AX25">IFERROR(_xlfn.LET(_xlpm.rate,INDEX('Mutual of Omaha'!$B$2:$E$42,MATCH($AE25,'Mutual of Omaha'!$A$2:$A$42,0),IF(LOWER(TRIM($F25))="male",IF(LOWER(TRIM($K25))="yes",2,1),IF(LOWER(TRIM($K25))="yes",4,3))),_xlpm.coverage,VALUE(SUBSTITUTE(SUBSTITUTE($S25,"$",""),",","")),_xlpm.base,_xlpm.rate*(_xlpm.coverage/1000),_xlpm.fee,_xlfn.XLOOKUP("Mutal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5" s="80">
        <f t="array" ref="AY25">IFERROR(_xlfn.LET(_xlpm.rate,INDEX('Mutual of Omaha-Graded'!$B$2:$E$37,MATCH($AE25,'Mutual of Omaha-Graded'!$A$2:$A$37,0),IF(LOWER(TRIM($F25))="male",IF(LOWER(TRIM($K25))="yes",2,1),IF(LOWER(TRIM($K25))="yes",4,3))),_xlpm.coverage,VALUE(SUBSTITUTE(SUBSTITUTE($S25,"$",""),",","")),_xlpm.base,_xlpm.rate*(_xlpm.coverage/1000),_xlpm.fee,_xlfn.XLOOKUP("Mutual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5" s="80">
        <f>AP25</f>
        <v/>
      </c>
      <c r="BA25" s="80">
        <f>IFERROR(IF(AND(AP25&gt;0,AP25&lt;VALUE(SUBSTITUTE(SUBSTITUTE($T25,"$",""),",",""))),VALUE(SUBSTITUTE(SUBSTITUTE($T25,"$",""),",",""))-AP25,""),"")</f>
        <v/>
      </c>
      <c r="BB25" s="80">
        <f>AL25</f>
        <v/>
      </c>
      <c r="BC25" s="80">
        <f>IFERROR(IF(AND(AL25&gt;0,AL25&lt;VALUE(SUBSTITUTE(SUBSTITUTE($T25,"$",""),",",""))),VALUE(SUBSTITUTE(SUBSTITUTE($T25,"$",""),",",""))-AL25,""),"")</f>
        <v/>
      </c>
      <c r="BD25">
        <f t="array" ref="BD25">IFERROR(_xlfn.LET(_xlpm.current,VALUE(SUBSTITUTE(SUBSTITUTE($T25,"$",""),",","")),_xlpm.quotes,AF25:AY25,_xlpm.lowest,_xlfn.MINIFS(_xlpm.quotes,_xlpm.quotes,"&lt;"&amp;_xlpm.current,_xlpm.quotes,"&gt;0"),IF(_xlpm.lowest="","",SUBSTITUTE(INDEX($AF$1:$AY$1,1,MATCH(_xlpm.lowest,_xlpm.quotes,0))," Monthly Quote",""))),"")</f>
        <v/>
      </c>
      <c r="BE25" s="80">
        <f t="array" ref="BE25">IFERROR(_xlfn.LET(_xlpm.current,VALUE(SUBSTITUTE(SUBSTITUTE($T25,"$",""),",","")),_xlpm.quotes,AF25:AY25,_xlpm.lowest,_xlfn.MINIFS(_xlpm.quotes,_xlpm.quotes,"&lt;"&amp;_xlpm.current,_xlpm.quotes,"&gt;0"),IF(_xlpm.lowest="","",_xlpm.current-_xlpm.lowest)),"")</f>
        <v/>
      </c>
    </row>
    <row r="26">
      <c r="A26" s="67" t="inlineStr">
        <is>
          <t>Samuel A</t>
        </is>
      </c>
      <c r="B26" s="67" t="inlineStr">
        <is>
          <t>Faison</t>
        </is>
      </c>
      <c r="C26" s="68" t="n">
        <v>8562575965</v>
      </c>
      <c r="D26" s="68" t="n">
        <v>67</v>
      </c>
      <c r="E26" s="69" t="n">
        <v>21297</v>
      </c>
      <c r="F26" s="67" t="inlineStr">
        <is>
          <t>Male</t>
        </is>
      </c>
      <c r="G26" s="67" t="inlineStr">
        <is>
          <t>300 Broadway Apartment C2 Westville, NJ 08093, USA</t>
        </is>
      </c>
      <c r="H26" s="67" t="inlineStr">
        <is>
          <t>NC</t>
        </is>
      </c>
      <c r="I26" s="67" t="inlineStr">
        <is>
          <t>5.10 ft</t>
        </is>
      </c>
      <c r="J26" s="67" t="inlineStr">
        <is>
          <t>165 Lbs</t>
        </is>
      </c>
      <c r="K26" s="67" t="inlineStr">
        <is>
          <t>No</t>
        </is>
      </c>
      <c r="L26" s="67" t="n"/>
      <c r="M26" s="67" t="inlineStr">
        <is>
          <t>Burial</t>
        </is>
      </c>
      <c r="N26" s="67" t="inlineStr">
        <is>
          <t>Gladys Reedd - 71</t>
        </is>
      </c>
      <c r="O26" s="67" t="inlineStr">
        <is>
          <t>Sister</t>
        </is>
      </c>
      <c r="P26" s="67" t="n"/>
      <c r="Q26" s="67" t="n"/>
      <c r="R26" s="67" t="inlineStr">
        <is>
          <t>RNA</t>
        </is>
      </c>
      <c r="S26" s="70" t="n">
        <v>10000</v>
      </c>
      <c r="T26" s="71" t="n">
        <v>52.55</v>
      </c>
      <c r="U26" s="69" t="n">
        <v>45996</v>
      </c>
      <c r="V26" s="69" t="n">
        <v>46027</v>
      </c>
      <c r="W26" s="68" t="n">
        <v>245980192</v>
      </c>
      <c r="X26" s="67" t="inlineStr">
        <is>
          <t>no</t>
        </is>
      </c>
      <c r="Y26" s="67" t="inlineStr">
        <is>
          <t>TD Bank</t>
        </is>
      </c>
      <c r="Z26" s="68" t="n">
        <v>31201360</v>
      </c>
      <c r="AA26" s="68" t="n">
        <v>4319415637</v>
      </c>
      <c r="AB26" s="67" t="inlineStr">
        <is>
          <t>HBP</t>
        </is>
      </c>
      <c r="AC26" s="67" t="inlineStr">
        <is>
          <t>1 pill</t>
        </is>
      </c>
      <c r="AD26" s="67" t="inlineStr">
        <is>
          <t>DR Michael Taylor</t>
        </is>
      </c>
      <c r="AE26" s="68" t="n">
        <v>68</v>
      </c>
      <c r="AF26" s="80">
        <f t="array" ref="AF26">IFERROR(_xlfn.LET(_xlpm.rate,INDEX(aflac!$B$2:$E$37,MATCH($AE26,aflac!$A$2:$A$37,0),IF(LOWER(TRIM($F26))="male",IF(LOWER(TRIM($K26))="yes",2,1),IF(LOWER(TRIM($K26))="yes",4,3))),_xlpm.coverage,VALUE(SUBSTITUTE(SUBSTITUTE($S26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6" s="80">
        <f t="array" ref="AG26">IFERROR(_xlfn.LET(_xlpm.rate,INDEX('aflac-modified'!$B$2:$C$32,MATCH($AE26,'aflac-modified'!$A$2:$A$32,0),IF(LOWER(TRIM($F26))="male",1,2)),_xlpm.coverage,VALUE(SUBSTITUTE(SUBSTITUTE($S26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6" s="80">
        <f t="array" ref="AH26">IFERROR(_xlfn.LET(_xlpm.rate,INDEX(SBLI!$B$2:$E$37,MATCH($AE26,SBLI!$A$2:$A$37,0),IF(LOWER(TRIM($F26))="male",IF(LOWER(TRIM($K26))="yes",2,1),IF(LOWER(TRIM($K26))="yes",4,3))),_xlpm.coverage,VALUE(SUBSTITUTE(SUBSTITUTE($S26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6" s="80">
        <f t="array" ref="AI26">IFERROR(_xlfn.LET(_xlpm.rate,INDEX('SBLI-Modified'!$B$2:$E$27,MATCH($AE26,'SBLI-Modified'!$A$2:$A$27,0),IF(LOWER(TRIM($F26))="male",IF(LOWER(TRIM($K26))="yes",2,1),IF(LOWER(TRIM($K26))="yes",4,3))),_xlpm.coverage,VALUE(SUBSTITUTE(SUBSTITUTE($S26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6" s="80">
        <f t="array" ref="AJ26">IFERROR(_xlfn.LET(_xlpm.rate,INDEX(CICA!$B$2:$C$42,MATCH($AE26,CICA!$A$2:$A$42,0),IF(LOWER(TRIM($F26))="male",1,2)),_xlpm.coverage,VALUE(SUBSTITUTE(SUBSTITUTE($S26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6" s="80">
        <f t="array" ref="AK26">IFERROR(_xlfn.LET(_xlpm.rate,INDEX('CICA-GI'!$B$2:$C$47,MATCH($AE26,'CICA-GI'!$A$2:$A$47,0),IF(LOWER(TRIM($F26))="male",1,2)),_xlpm.coverage,VALUE(SUBSTITUTE(SUBSTITUTE($S26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6" s="80">
        <f t="array" ref="AL26">IFERROR(_xlfn.LET(_xlpm.rate,INDEX(gtl!$B$2:$C$52,MATCH($AE26,gtl!$A$2:$A$52,0),IF(LOWER(TRIM($F26))="male",1,2)),_xlpm.coverage,VALUE(SUBSTITUTE(SUBSTITUTE($S26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6" s="80">
        <f t="array" ref="AM26">IFERROR(_xlfn.LET(_xlpm.rate,INDEX(TransAmerica!$B$2:$E$69,MATCH($AE26,TransAmerica!$A$2:$A$69,0),IF(LOWER(TRIM($F26))="male",IF(LOWER(TRIM($K26))="yes",2,1),IF(LOWER(TRIM($K26))="yes",4,3))),_xlpm.coverage,VALUE(SUBSTITUTE(SUBSTITUTE($S26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6" s="80">
        <f t="array" ref="AN26">IFERROR(_xlfn.LET(_xlpm.rate,INDEX('TransAmerica Graded'!$B$2:$E$64,MATCH($AE26,'TransAmerica Graded'!$A$2:$A$64,0),IF(LOWER(TRIM($F26))="male",IF(LOWER(TRIM($K26))="yes",2,1),IF(LOWER(TRIM($K26))="yes",4,3))),_xlpm.coverage,VALUE(SUBSTITUTE(SUBSTITUTE($S26,"$",""),",","")),_xlpm.base,_xlpm.rate*(_xlpm.coverage/1000),_xlpm.fee,_xlfn.XLOOKUP("TransAmerica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6" s="80">
        <f t="array" ref="AO26">IFERROR(_xlfn.LET(_xlpm.rate,INDEX(Corebridge!$B$2:$C$32,MATCH($AE26,Corebridge!$A$2:$A$32,0),IF(LOWER(TRIM($F26))="male",1,2)),_xlpm.coverage,VALUE(SUBSTITUTE(SUBSTITUTE($S26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6" s="80">
        <f t="array" ref="AP26">IFERROR(_xlfn.LET(_xlpm.rate,INDEX(amam!$B$2:$E$37,MATCH($AE26,amam!$A$2:$A$37,0),IF(LOWER(TRIM($F26))="male",IF(LOWER(TRIM($K26))="yes",2,1),IF(LOWER(TRIM($K26))="yes",4,3))),_xlpm.coverage,VALUE(SUBSTITUTE(SUBSTITUTE($S26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6" s="80">
        <f t="array" ref="AQ26">IFERROR(_xlfn.LET(_xlpm.rate,INDEX('amam-graded'!$B$2:$E$37,MATCH($AE26,'amam-graded'!$A$2:$A$37,0),IF(LOWER(TRIM($F26))="male",IF(LOWER(TRIM($K26))="yes",2,1),IF(LOWER(TRIM($K26))="yes",4,3))),_xlpm.coverage,VALUE(SUBSTITUTE(SUBSTITUTE($S26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6" s="80">
        <f t="array" ref="AR26">IFERROR(_xlfn.LET(_xlpm.rate,INDEX('amam-return-or-premium'!$B$2:$E$37,MATCH($AE26,'amam-return-or-premium'!$A$2:$A$37,0),IF(LOWER(TRIM($F26))="male",IF(LOWER(TRIM($K26))="yes",2,1),IF(LOWER(TRIM($K26))="yes",4,3))),_xlpm.coverage,VALUE(SUBSTITUTE(SUBSTITUTE($S26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6" s="80">
        <f t="array" ref="AS26">IFERROR(_xlfn.LET(_xlpm.rate,INDEX(AHL!$B$2:$E$37,MATCH($AE26,AHL!$A$2:$A$37,0),IF(LOWER(TRIM($F26))="male",IF(LOWER(TRIM($K26))="yes",2,1),IF(LOWER(TRIM($K26))="yes",4,3))),_xlpm.coverage,VALUE(SUBSTITUTE(SUBSTITUTE($S26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6" s="80">
        <f t="array" ref="AT26">IFERROR(_xlfn.LET(_xlpm.rate,INDEX('AHL-Graded'!$B$2:$E$32,MATCH($AE26,'AHL-Graded'!$A$2:$A$32,0),IF(LOWER(TRIM($F26))="male",IF(LOWER(TRIM($K26))="yes",2,1),IF(LOWER(TRIM($K26))="yes",4,3))),_xlpm.coverage,VALUE(SUBSTITUTE(SUBSTITUTE($S26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6" s="80">
        <f t="array" ref="AU26">IFERROR(_xlfn.LET(_xlpm.rate,INDEX('Royal Neighbors'!$B$2:$E$37,MATCH($AE26,'Royal Neighbors'!$A$2:$A$37,0),IF(LOWER(TRIM($F26))="male",IF(LOWER(TRIM($K26))="yes",2,1),IF(LOWER(TRIM($K26))="yes",4,3))),_xlpm.coverage,VALUE(SUBSTITUTE(SUBSTITUTE($S26,"$",""),",","")),_xlpm.base,_xlpm.rate*(_xlpm.coverage/1000),_xlpm.fee,_xlfn.XLOOKUP("Royal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6" s="80">
        <f t="array" ref="AV26">IFERROR(_xlfn.LET(_xlpm.rate,INDEX('Royal Neighbors-Graded'!$B$2:$E$37,MATCH($AE26,'Royal Neighbors-Graded'!$A$2:$A$37,0),IF(LOWER(TRIM($F26))="male",IF(LOWER(TRIM($K26))="yes",2,1),IF(LOWER(TRIM($K26))="yes",4,3))),_xlpm.coverage,VALUE(SUBSTITUTE(SUBSTITUTE($S26,"$",""),",","")),_xlpm.base,_xlpm.rate*(_xlpm.coverage/1000),_xlpm.fee,_xlfn.XLOOKUP("Royal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6" s="80">
        <f t="array" ref="AW26">IFERROR(_xlfn.LET(_xlpm.rate,INDEX('Gerber-GI'!$B$2:$C$32,MATCH($AE26,'Gerber-GI'!$A$2:$A$32,0),IF(LOWER(TRIM($F26))="male",1,2)),_xlpm.coverage,VALUE(SUBSTITUTE(SUBSTITUTE($S26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6" s="80">
        <f t="array" ref="AX26">IFERROR(_xlfn.LET(_xlpm.rate,INDEX('Mutual of Omaha'!$B$2:$E$42,MATCH($AE26,'Mutual of Omaha'!$A$2:$A$42,0),IF(LOWER(TRIM($F26))="male",IF(LOWER(TRIM($K26))="yes",2,1),IF(LOWER(TRIM($K26))="yes",4,3))),_xlpm.coverage,VALUE(SUBSTITUTE(SUBSTITUTE($S26,"$",""),",","")),_xlpm.base,_xlpm.rate*(_xlpm.coverage/1000),_xlpm.fee,_xlfn.XLOOKUP("Mutal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6" s="80">
        <f t="array" ref="AY26">IFERROR(_xlfn.LET(_xlpm.rate,INDEX('Mutual of Omaha-Graded'!$B$2:$E$37,MATCH($AE26,'Mutual of Omaha-Graded'!$A$2:$A$37,0),IF(LOWER(TRIM($F26))="male",IF(LOWER(TRIM($K26))="yes",2,1),IF(LOWER(TRIM($K26))="yes",4,3))),_xlpm.coverage,VALUE(SUBSTITUTE(SUBSTITUTE($S26,"$",""),",","")),_xlpm.base,_xlpm.rate*(_xlpm.coverage/1000),_xlpm.fee,_xlfn.XLOOKUP("Mutual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6" s="80">
        <f>AP26</f>
        <v/>
      </c>
      <c r="BA26" s="80">
        <f>IFERROR(IF(AND(AP26&gt;0,AP26&lt;VALUE(SUBSTITUTE(SUBSTITUTE($T26,"$",""),",",""))),VALUE(SUBSTITUTE(SUBSTITUTE($T26,"$",""),",",""))-AP26,""),"")</f>
        <v/>
      </c>
      <c r="BB26" s="80">
        <f>AL26</f>
        <v/>
      </c>
      <c r="BC26" s="80">
        <f>IFERROR(IF(AND(AL26&gt;0,AL26&lt;VALUE(SUBSTITUTE(SUBSTITUTE($T26,"$",""),",",""))),VALUE(SUBSTITUTE(SUBSTITUTE($T26,"$",""),",",""))-AL26,""),"")</f>
        <v/>
      </c>
      <c r="BD26">
        <f t="array" ref="BD26">IFERROR(_xlfn.LET(_xlpm.current,VALUE(SUBSTITUTE(SUBSTITUTE($T26,"$",""),",","")),_xlpm.quotes,AF26:AY26,_xlpm.lowest,_xlfn.MINIFS(_xlpm.quotes,_xlpm.quotes,"&lt;"&amp;_xlpm.current,_xlpm.quotes,"&gt;0"),IF(_xlpm.lowest="","",SUBSTITUTE(INDEX($AF$1:$AY$1,1,MATCH(_xlpm.lowest,_xlpm.quotes,0))," Monthly Quote",""))),"")</f>
        <v/>
      </c>
      <c r="BE26" s="80">
        <f t="array" ref="BE26">IFERROR(_xlfn.LET(_xlpm.current,VALUE(SUBSTITUTE(SUBSTITUTE($T26,"$",""),",","")),_xlpm.quotes,AF26:AY26,_xlpm.lowest,_xlfn.MINIFS(_xlpm.quotes,_xlpm.quotes,"&lt;"&amp;_xlpm.current,_xlpm.quotes,"&gt;0"),IF(_xlpm.lowest="","",_xlpm.current-_xlpm.lowest)),"")</f>
        <v/>
      </c>
    </row>
    <row r="27">
      <c r="A27" s="67" t="inlineStr">
        <is>
          <t>Gladys M</t>
        </is>
      </c>
      <c r="B27" s="67" t="inlineStr">
        <is>
          <t>Diaz</t>
        </is>
      </c>
      <c r="C27" s="68" t="n">
        <v>7707155948</v>
      </c>
      <c r="D27" s="68" t="n">
        <v>82</v>
      </c>
      <c r="E27" s="69" t="n">
        <v>15843</v>
      </c>
      <c r="F27" s="67" t="inlineStr">
        <is>
          <t>Female</t>
        </is>
      </c>
      <c r="G27" s="67" t="inlineStr">
        <is>
          <t>6433 Gasparilla Pines Blvd #327 Englewood, FL 34224</t>
        </is>
      </c>
      <c r="H27" s="67" t="inlineStr">
        <is>
          <t>NJ</t>
        </is>
      </c>
      <c r="I27" s="68" t="n">
        <v>5.1</v>
      </c>
      <c r="J27" s="68" t="n">
        <v>140</v>
      </c>
      <c r="K27" s="67" t="inlineStr">
        <is>
          <t>No</t>
        </is>
      </c>
      <c r="L27" s="67" t="inlineStr">
        <is>
          <t>.</t>
        </is>
      </c>
      <c r="M27" s="67" t="inlineStr">
        <is>
          <t>Burial</t>
        </is>
      </c>
      <c r="N27" s="67" t="inlineStr">
        <is>
          <t>Jose Diaz : 07/16/1965</t>
        </is>
      </c>
      <c r="O27" s="67" t="inlineStr">
        <is>
          <t>Son</t>
        </is>
      </c>
      <c r="P27" s="67" t="inlineStr">
        <is>
          <t>.</t>
        </is>
      </c>
      <c r="Q27" s="67" t="inlineStr">
        <is>
          <t>.</t>
        </is>
      </c>
      <c r="R27" s="67" t="inlineStr">
        <is>
          <t>RNA</t>
        </is>
      </c>
      <c r="S27" s="70" t="n">
        <v>5000</v>
      </c>
      <c r="T27" s="74" t="n">
        <v>71.45</v>
      </c>
      <c r="U27" s="69" t="n">
        <v>45995</v>
      </c>
      <c r="V27" s="69" t="n">
        <v>46026</v>
      </c>
      <c r="W27" s="68" t="n">
        <v>139345999</v>
      </c>
      <c r="X27" s="67" t="inlineStr">
        <is>
          <t>.</t>
        </is>
      </c>
      <c r="Y27" s="67" t="inlineStr">
        <is>
          <t>JPMORGAN CHASE BANK</t>
        </is>
      </c>
      <c r="Z27" s="68" t="n">
        <v>267084131</v>
      </c>
      <c r="AA27" s="68" t="n">
        <v>729135510</v>
      </c>
      <c r="AB27" s="67" t="inlineStr">
        <is>
          <t>Heart Murmur High Cholesterol</t>
        </is>
      </c>
      <c r="AC27" s="67" t="inlineStr">
        <is>
          <t>Atenolol Rosuvastatin</t>
        </is>
      </c>
      <c r="AD27" s="67" t="inlineStr">
        <is>
          <t>Dr. Lynette Llerena</t>
        </is>
      </c>
      <c r="AE27" s="68" t="n">
        <v>83</v>
      </c>
      <c r="AF27" s="80">
        <f t="array" ref="AF27">IFERROR(_xlfn.LET(_xlpm.rate,INDEX(aflac!$B$2:$E$37,MATCH($AE27,aflac!$A$2:$A$37,0),IF(LOWER(TRIM($F27))="male",IF(LOWER(TRIM($K27))="yes",2,1),IF(LOWER(TRIM($K27))="yes",4,3))),_xlpm.coverage,VALUE(SUBSTITUTE(SUBSTITUTE($S27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7" s="80">
        <f t="array" ref="AG27">IFERROR(_xlfn.LET(_xlpm.rate,INDEX('aflac-modified'!$B$2:$C$32,MATCH($AE27,'aflac-modified'!$A$2:$A$32,0),IF(LOWER(TRIM($F27))="male",1,2)),_xlpm.coverage,VALUE(SUBSTITUTE(SUBSTITUTE($S27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7" s="80">
        <f t="array" ref="AH27">IFERROR(_xlfn.LET(_xlpm.rate,INDEX(SBLI!$B$2:$E$37,MATCH($AE27,SBLI!$A$2:$A$37,0),IF(LOWER(TRIM($F27))="male",IF(LOWER(TRIM($K27))="yes",2,1),IF(LOWER(TRIM($K27))="yes",4,3))),_xlpm.coverage,VALUE(SUBSTITUTE(SUBSTITUTE($S27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7" s="80">
        <f t="array" ref="AI27">IFERROR(_xlfn.LET(_xlpm.rate,INDEX('SBLI-Modified'!$B$2:$E$27,MATCH($AE27,'SBLI-Modified'!$A$2:$A$27,0),IF(LOWER(TRIM($F27))="male",IF(LOWER(TRIM($K27))="yes",2,1),IF(LOWER(TRIM($K27))="yes",4,3))),_xlpm.coverage,VALUE(SUBSTITUTE(SUBSTITUTE($S27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7" s="80">
        <f t="array" ref="AJ27">IFERROR(_xlfn.LET(_xlpm.rate,INDEX(CICA!$B$2:$C$42,MATCH($AE27,CICA!$A$2:$A$42,0),IF(LOWER(TRIM($F27))="male",1,2)),_xlpm.coverage,VALUE(SUBSTITUTE(SUBSTITUTE($S27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7" s="80">
        <f t="array" ref="AK27">IFERROR(_xlfn.LET(_xlpm.rate,INDEX('CICA-GI'!$B$2:$C$47,MATCH($AE27,'CICA-GI'!$A$2:$A$47,0),IF(LOWER(TRIM($F27))="male",1,2)),_xlpm.coverage,VALUE(SUBSTITUTE(SUBSTITUTE($S27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7" s="80">
        <f t="array" ref="AL27">IFERROR(_xlfn.LET(_xlpm.rate,INDEX(gtl!$B$2:$C$52,MATCH($AE27,gtl!$A$2:$A$52,0),IF(LOWER(TRIM($F27))="male",1,2)),_xlpm.coverage,VALUE(SUBSTITUTE(SUBSTITUTE($S27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7" s="80">
        <f t="array" ref="AM27">IFERROR(_xlfn.LET(_xlpm.rate,INDEX(TransAmerica!$B$2:$E$69,MATCH($AE27,TransAmerica!$A$2:$A$69,0),IF(LOWER(TRIM($F27))="male",IF(LOWER(TRIM($K27))="yes",2,1),IF(LOWER(TRIM($K27))="yes",4,3))),_xlpm.coverage,VALUE(SUBSTITUTE(SUBSTITUTE($S27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7" s="80">
        <f t="array" ref="AN27">IFERROR(_xlfn.LET(_xlpm.rate,INDEX('TransAmerica Graded'!$B$2:$E$64,MATCH($AE27,'TransAmerica Graded'!$A$2:$A$64,0),IF(LOWER(TRIM($F27))="male",IF(LOWER(TRIM($K27))="yes",2,1),IF(LOWER(TRIM($K27))="yes",4,3))),_xlpm.coverage,VALUE(SUBSTITUTE(SUBSTITUTE($S27,"$",""),",","")),_xlpm.base,_xlpm.rate*(_xlpm.coverage/1000),_xlpm.fee,_xlfn.XLOOKUP("TransAmerica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7" s="80">
        <f t="array" ref="AO27">IFERROR(_xlfn.LET(_xlpm.rate,INDEX(Corebridge!$B$2:$C$32,MATCH($AE27,Corebridge!$A$2:$A$32,0),IF(LOWER(TRIM($F27))="male",1,2)),_xlpm.coverage,VALUE(SUBSTITUTE(SUBSTITUTE($S27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7" s="80">
        <f t="array" ref="AP27">IFERROR(_xlfn.LET(_xlpm.rate,INDEX(amam!$B$2:$E$37,MATCH($AE27,amam!$A$2:$A$37,0),IF(LOWER(TRIM($F27))="male",IF(LOWER(TRIM($K27))="yes",2,1),IF(LOWER(TRIM($K27))="yes",4,3))),_xlpm.coverage,VALUE(SUBSTITUTE(SUBSTITUTE($S27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7" s="80">
        <f t="array" ref="AQ27">IFERROR(_xlfn.LET(_xlpm.rate,INDEX('amam-graded'!$B$2:$E$37,MATCH($AE27,'amam-graded'!$A$2:$A$37,0),IF(LOWER(TRIM($F27))="male",IF(LOWER(TRIM($K27))="yes",2,1),IF(LOWER(TRIM($K27))="yes",4,3))),_xlpm.coverage,VALUE(SUBSTITUTE(SUBSTITUTE($S27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7" s="80">
        <f t="array" ref="AR27">IFERROR(_xlfn.LET(_xlpm.rate,INDEX('amam-return-or-premium'!$B$2:$E$37,MATCH($AE27,'amam-return-or-premium'!$A$2:$A$37,0),IF(LOWER(TRIM($F27))="male",IF(LOWER(TRIM($K27))="yes",2,1),IF(LOWER(TRIM($K27))="yes",4,3))),_xlpm.coverage,VALUE(SUBSTITUTE(SUBSTITUTE($S27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7" s="80">
        <f t="array" ref="AS27">IFERROR(_xlfn.LET(_xlpm.rate,INDEX(AHL!$B$2:$E$37,MATCH($AE27,AHL!$A$2:$A$37,0),IF(LOWER(TRIM($F27))="male",IF(LOWER(TRIM($K27))="yes",2,1),IF(LOWER(TRIM($K27))="yes",4,3))),_xlpm.coverage,VALUE(SUBSTITUTE(SUBSTITUTE($S27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7" s="80">
        <f t="array" ref="AT27">IFERROR(_xlfn.LET(_xlpm.rate,INDEX('AHL-Graded'!$B$2:$E$32,MATCH($AE27,'AHL-Graded'!$A$2:$A$32,0),IF(LOWER(TRIM($F27))="male",IF(LOWER(TRIM($K27))="yes",2,1),IF(LOWER(TRIM($K27))="yes",4,3))),_xlpm.coverage,VALUE(SUBSTITUTE(SUBSTITUTE($S27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7" s="80">
        <f t="array" ref="AU27">IFERROR(_xlfn.LET(_xlpm.rate,INDEX('Royal Neighbors'!$B$2:$E$37,MATCH($AE27,'Royal Neighbors'!$A$2:$A$37,0),IF(LOWER(TRIM($F27))="male",IF(LOWER(TRIM($K27))="yes",2,1),IF(LOWER(TRIM($K27))="yes",4,3))),_xlpm.coverage,VALUE(SUBSTITUTE(SUBSTITUTE($S27,"$",""),",","")),_xlpm.base,_xlpm.rate*(_xlpm.coverage/1000),_xlpm.fee,_xlfn.XLOOKUP("Royal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7" s="80">
        <f t="array" ref="AV27">IFERROR(_xlfn.LET(_xlpm.rate,INDEX('Royal Neighbors-Graded'!$B$2:$E$37,MATCH($AE27,'Royal Neighbors-Graded'!$A$2:$A$37,0),IF(LOWER(TRIM($F27))="male",IF(LOWER(TRIM($K27))="yes",2,1),IF(LOWER(TRIM($K27))="yes",4,3))),_xlpm.coverage,VALUE(SUBSTITUTE(SUBSTITUTE($S27,"$",""),",","")),_xlpm.base,_xlpm.rate*(_xlpm.coverage/1000),_xlpm.fee,_xlfn.XLOOKUP("Royal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7" s="80">
        <f t="array" ref="AW27">IFERROR(_xlfn.LET(_xlpm.rate,INDEX('Gerber-GI'!$B$2:$C$32,MATCH($AE27,'Gerber-GI'!$A$2:$A$32,0),IF(LOWER(TRIM($F27))="male",1,2)),_xlpm.coverage,VALUE(SUBSTITUTE(SUBSTITUTE($S27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7" s="80">
        <f t="array" ref="AX27">IFERROR(_xlfn.LET(_xlpm.rate,INDEX('Mutual of Omaha'!$B$2:$E$42,MATCH($AE27,'Mutual of Omaha'!$A$2:$A$42,0),IF(LOWER(TRIM($F27))="male",IF(LOWER(TRIM($K27))="yes",2,1),IF(LOWER(TRIM($K27))="yes",4,3))),_xlpm.coverage,VALUE(SUBSTITUTE(SUBSTITUTE($S27,"$",""),",","")),_xlpm.base,_xlpm.rate*(_xlpm.coverage/1000),_xlpm.fee,_xlfn.XLOOKUP("Mutal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7" s="80">
        <f t="array" ref="AY27">IFERROR(_xlfn.LET(_xlpm.rate,INDEX('Mutual of Omaha-Graded'!$B$2:$E$37,MATCH($AE27,'Mutual of Omaha-Graded'!$A$2:$A$37,0),IF(LOWER(TRIM($F27))="male",IF(LOWER(TRIM($K27))="yes",2,1),IF(LOWER(TRIM($K27))="yes",4,3))),_xlpm.coverage,VALUE(SUBSTITUTE(SUBSTITUTE($S27,"$",""),",","")),_xlpm.base,_xlpm.rate*(_xlpm.coverage/1000),_xlpm.fee,_xlfn.XLOOKUP("Mutual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7" s="80">
        <f>AP27</f>
        <v/>
      </c>
      <c r="BA27" s="80">
        <f>IFERROR(IF(AND(AP27&gt;0,AP27&lt;VALUE(SUBSTITUTE(SUBSTITUTE($T27,"$",""),",",""))),VALUE(SUBSTITUTE(SUBSTITUTE($T27,"$",""),",",""))-AP27,""),"")</f>
        <v/>
      </c>
      <c r="BB27" s="80">
        <f>AL27</f>
        <v/>
      </c>
      <c r="BC27" s="80">
        <f>IFERROR(IF(AND(AL27&gt;0,AL27&lt;VALUE(SUBSTITUTE(SUBSTITUTE($T27,"$",""),",",""))),VALUE(SUBSTITUTE(SUBSTITUTE($T27,"$",""),",",""))-AL27,""),"")</f>
        <v/>
      </c>
      <c r="BD27">
        <f t="array" ref="BD27">IFERROR(_xlfn.LET(_xlpm.current,VALUE(SUBSTITUTE(SUBSTITUTE($T27,"$",""),",","")),_xlpm.quotes,AF27:AY27,_xlpm.lowest,_xlfn.MINIFS(_xlpm.quotes,_xlpm.quotes,"&lt;"&amp;_xlpm.current,_xlpm.quotes,"&gt;0"),IF(_xlpm.lowest="","",SUBSTITUTE(INDEX($AF$1:$AY$1,1,MATCH(_xlpm.lowest,_xlpm.quotes,0))," Monthly Quote",""))),"")</f>
        <v/>
      </c>
      <c r="BE27" s="80">
        <f t="array" ref="BE27">IFERROR(_xlfn.LET(_xlpm.current,VALUE(SUBSTITUTE(SUBSTITUTE($T27,"$",""),",","")),_xlpm.quotes,AF27:AY27,_xlpm.lowest,_xlfn.MINIFS(_xlpm.quotes,_xlpm.quotes,"&lt;"&amp;_xlpm.current,_xlpm.quotes,"&gt;0"),IF(_xlpm.lowest="","",_xlpm.current-_xlpm.lowest)),"")</f>
        <v/>
      </c>
    </row>
    <row r="28">
      <c r="A28" s="67" t="inlineStr">
        <is>
          <t>Karen M</t>
        </is>
      </c>
      <c r="B28" s="67" t="inlineStr">
        <is>
          <t>Clement</t>
        </is>
      </c>
      <c r="C28" s="68" t="n">
        <v>2819546060</v>
      </c>
      <c r="D28" s="68" t="n">
        <v>79</v>
      </c>
      <c r="E28" s="69" t="n">
        <v>16863</v>
      </c>
      <c r="F28" s="67" t="inlineStr">
        <is>
          <t>Female</t>
        </is>
      </c>
      <c r="G28" s="67" t="inlineStr">
        <is>
          <t>16573 el camino Houston TX 77062</t>
        </is>
      </c>
      <c r="H28" s="67" t="inlineStr">
        <is>
          <t>NY</t>
        </is>
      </c>
      <c r="I28" s="75" t="n">
        <v>46148</v>
      </c>
      <c r="J28" s="68" t="n">
        <v>145</v>
      </c>
      <c r="K28" s="67" t="inlineStr">
        <is>
          <t>No</t>
        </is>
      </c>
      <c r="L28" s="67" t="n"/>
      <c r="M28" s="67" t="inlineStr">
        <is>
          <t>Cremation</t>
        </is>
      </c>
      <c r="N28" s="67" t="inlineStr">
        <is>
          <t>KRISTINA CLEMENT</t>
        </is>
      </c>
      <c r="O28" s="67" t="inlineStr">
        <is>
          <t>Daughter</t>
        </is>
      </c>
      <c r="P28" s="67" t="n"/>
      <c r="Q28" s="67" t="n"/>
      <c r="R28" s="67" t="inlineStr">
        <is>
          <t>RNA</t>
        </is>
      </c>
      <c r="S28" s="70" t="n">
        <v>5000</v>
      </c>
      <c r="T28" s="71" t="n">
        <v>58.95</v>
      </c>
      <c r="U28" s="69" t="n">
        <v>45992</v>
      </c>
      <c r="V28" s="69" t="n">
        <v>46023</v>
      </c>
      <c r="W28" s="68" t="n">
        <v>450841921</v>
      </c>
      <c r="X28" s="67" t="inlineStr">
        <is>
          <t>no</t>
        </is>
      </c>
      <c r="Y28" s="67" t="inlineStr">
        <is>
          <t>comerica bank</t>
        </is>
      </c>
      <c r="Z28" s="68" t="n">
        <v>111000753</v>
      </c>
      <c r="AA28" s="68" t="n">
        <v>7004328188</v>
      </c>
      <c r="AB28" s="67" t="inlineStr">
        <is>
          <t>no</t>
        </is>
      </c>
      <c r="AC28" s="67" t="inlineStr">
        <is>
          <t>no</t>
        </is>
      </c>
      <c r="AD28" s="67" t="inlineStr">
        <is>
          <t>no</t>
        </is>
      </c>
      <c r="AE28" s="68" t="n">
        <v>80</v>
      </c>
      <c r="AF28" s="80">
        <f t="array" ref="AF28">IFERROR(_xlfn.LET(_xlpm.rate,INDEX(aflac!$B$2:$E$37,MATCH($AE28,aflac!$A$2:$A$37,0),IF(LOWER(TRIM($F28))="male",IF(LOWER(TRIM($K28))="yes",2,1),IF(LOWER(TRIM($K28))="yes",4,3))),_xlpm.coverage,VALUE(SUBSTITUTE(SUBSTITUTE($S28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8" s="80">
        <f t="array" ref="AG28">IFERROR(_xlfn.LET(_xlpm.rate,INDEX('aflac-modified'!$B$2:$C$32,MATCH($AE28,'aflac-modified'!$A$2:$A$32,0),IF(LOWER(TRIM($F28))="male",1,2)),_xlpm.coverage,VALUE(SUBSTITUTE(SUBSTITUTE($S28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8" s="80">
        <f t="array" ref="AH28">IFERROR(_xlfn.LET(_xlpm.rate,INDEX(SBLI!$B$2:$E$37,MATCH($AE28,SBLI!$A$2:$A$37,0),IF(LOWER(TRIM($F28))="male",IF(LOWER(TRIM($K28))="yes",2,1),IF(LOWER(TRIM($K28))="yes",4,3))),_xlpm.coverage,VALUE(SUBSTITUTE(SUBSTITUTE($S28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8" s="80">
        <f t="array" ref="AI28">IFERROR(_xlfn.LET(_xlpm.rate,INDEX('SBLI-Modified'!$B$2:$E$27,MATCH($AE28,'SBLI-Modified'!$A$2:$A$27,0),IF(LOWER(TRIM($F28))="male",IF(LOWER(TRIM($K28))="yes",2,1),IF(LOWER(TRIM($K28))="yes",4,3))),_xlpm.coverage,VALUE(SUBSTITUTE(SUBSTITUTE($S28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8" s="80">
        <f t="array" ref="AJ28">IFERROR(_xlfn.LET(_xlpm.rate,INDEX(CICA!$B$2:$C$42,MATCH($AE28,CICA!$A$2:$A$42,0),IF(LOWER(TRIM($F28))="male",1,2)),_xlpm.coverage,VALUE(SUBSTITUTE(SUBSTITUTE($S28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8" s="80">
        <f t="array" ref="AK28">IFERROR(_xlfn.LET(_xlpm.rate,INDEX('CICA-GI'!$B$2:$C$47,MATCH($AE28,'CICA-GI'!$A$2:$A$47,0),IF(LOWER(TRIM($F28))="male",1,2)),_xlpm.coverage,VALUE(SUBSTITUTE(SUBSTITUTE($S28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8" s="80">
        <f t="array" ref="AL28">IFERROR(_xlfn.LET(_xlpm.rate,INDEX(gtl!$B$2:$C$52,MATCH($AE28,gtl!$A$2:$A$52,0),IF(LOWER(TRIM($F28))="male",1,2)),_xlpm.coverage,VALUE(SUBSTITUTE(SUBSTITUTE($S28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8" s="80">
        <f t="array" ref="AM28">IFERROR(_xlfn.LET(_xlpm.rate,INDEX(TransAmerica!$B$2:$E$69,MATCH($AE28,TransAmerica!$A$2:$A$69,0),IF(LOWER(TRIM($F28))="male",IF(LOWER(TRIM($K28))="yes",2,1),IF(LOWER(TRIM($K28))="yes",4,3))),_xlpm.coverage,VALUE(SUBSTITUTE(SUBSTITUTE($S28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8" s="80">
        <f t="array" ref="AN28">IFERROR(_xlfn.LET(_xlpm.rate,INDEX('TransAmerica Graded'!$B$2:$E$64,MATCH($AE28,'TransAmerica Graded'!$A$2:$A$64,0),IF(LOWER(TRIM($F28))="male",IF(LOWER(TRIM($K28))="yes",2,1),IF(LOWER(TRIM($K28))="yes",4,3))),_xlpm.coverage,VALUE(SUBSTITUTE(SUBSTITUTE($S28,"$",""),",","")),_xlpm.base,_xlpm.rate*(_xlpm.coverage/1000),_xlpm.fee,_xlfn.XLOOKUP("TransAmerica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8" s="80">
        <f t="array" ref="AO28">IFERROR(_xlfn.LET(_xlpm.rate,INDEX(Corebridge!$B$2:$C$32,MATCH($AE28,Corebridge!$A$2:$A$32,0),IF(LOWER(TRIM($F28))="male",1,2)),_xlpm.coverage,VALUE(SUBSTITUTE(SUBSTITUTE($S28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8" s="80">
        <f t="array" ref="AP28">IFERROR(_xlfn.LET(_xlpm.rate,INDEX(amam!$B$2:$E$37,MATCH($AE28,amam!$A$2:$A$37,0),IF(LOWER(TRIM($F28))="male",IF(LOWER(TRIM($K28))="yes",2,1),IF(LOWER(TRIM($K28))="yes",4,3))),_xlpm.coverage,VALUE(SUBSTITUTE(SUBSTITUTE($S28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8" s="80">
        <f t="array" ref="AQ28">IFERROR(_xlfn.LET(_xlpm.rate,INDEX('amam-graded'!$B$2:$E$37,MATCH($AE28,'amam-graded'!$A$2:$A$37,0),IF(LOWER(TRIM($F28))="male",IF(LOWER(TRIM($K28))="yes",2,1),IF(LOWER(TRIM($K28))="yes",4,3))),_xlpm.coverage,VALUE(SUBSTITUTE(SUBSTITUTE($S28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8" s="80">
        <f t="array" ref="AR28">IFERROR(_xlfn.LET(_xlpm.rate,INDEX('amam-return-or-premium'!$B$2:$E$37,MATCH($AE28,'amam-return-or-premium'!$A$2:$A$37,0),IF(LOWER(TRIM($F28))="male",IF(LOWER(TRIM($K28))="yes",2,1),IF(LOWER(TRIM($K28))="yes",4,3))),_xlpm.coverage,VALUE(SUBSTITUTE(SUBSTITUTE($S28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8" s="80">
        <f t="array" ref="AS28">IFERROR(_xlfn.LET(_xlpm.rate,INDEX(AHL!$B$2:$E$37,MATCH($AE28,AHL!$A$2:$A$37,0),IF(LOWER(TRIM($F28))="male",IF(LOWER(TRIM($K28))="yes",2,1),IF(LOWER(TRIM($K28))="yes",4,3))),_xlpm.coverage,VALUE(SUBSTITUTE(SUBSTITUTE($S28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8" s="80">
        <f t="array" ref="AT28">IFERROR(_xlfn.LET(_xlpm.rate,INDEX('AHL-Graded'!$B$2:$E$32,MATCH($AE28,'AHL-Graded'!$A$2:$A$32,0),IF(LOWER(TRIM($F28))="male",IF(LOWER(TRIM($K28))="yes",2,1),IF(LOWER(TRIM($K28))="yes",4,3))),_xlpm.coverage,VALUE(SUBSTITUTE(SUBSTITUTE($S28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8" s="80">
        <f t="array" ref="AU28">IFERROR(_xlfn.LET(_xlpm.rate,INDEX('Royal Neighbors'!$B$2:$E$37,MATCH($AE28,'Royal Neighbors'!$A$2:$A$37,0),IF(LOWER(TRIM($F28))="male",IF(LOWER(TRIM($K28))="yes",2,1),IF(LOWER(TRIM($K28))="yes",4,3))),_xlpm.coverage,VALUE(SUBSTITUTE(SUBSTITUTE($S28,"$",""),",","")),_xlpm.base,_xlpm.rate*(_xlpm.coverage/1000),_xlpm.fee,_xlfn.XLOOKUP("Royal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8" s="80">
        <f t="array" ref="AV28">IFERROR(_xlfn.LET(_xlpm.rate,INDEX('Royal Neighbors-Graded'!$B$2:$E$37,MATCH($AE28,'Royal Neighbors-Graded'!$A$2:$A$37,0),IF(LOWER(TRIM($F28))="male",IF(LOWER(TRIM($K28))="yes",2,1),IF(LOWER(TRIM($K28))="yes",4,3))),_xlpm.coverage,VALUE(SUBSTITUTE(SUBSTITUTE($S28,"$",""),",","")),_xlpm.base,_xlpm.rate*(_xlpm.coverage/1000),_xlpm.fee,_xlfn.XLOOKUP("Royal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8" s="80">
        <f t="array" ref="AW28">IFERROR(_xlfn.LET(_xlpm.rate,INDEX('Gerber-GI'!$B$2:$C$32,MATCH($AE28,'Gerber-GI'!$A$2:$A$32,0),IF(LOWER(TRIM($F28))="male",1,2)),_xlpm.coverage,VALUE(SUBSTITUTE(SUBSTITUTE($S28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8" s="80">
        <f t="array" ref="AX28">IFERROR(_xlfn.LET(_xlpm.rate,INDEX('Mutual of Omaha'!$B$2:$E$42,MATCH($AE28,'Mutual of Omaha'!$A$2:$A$42,0),IF(LOWER(TRIM($F28))="male",IF(LOWER(TRIM($K28))="yes",2,1),IF(LOWER(TRIM($K28))="yes",4,3))),_xlpm.coverage,VALUE(SUBSTITUTE(SUBSTITUTE($S28,"$",""),",","")),_xlpm.base,_xlpm.rate*(_xlpm.coverage/1000),_xlpm.fee,_xlfn.XLOOKUP("Mutal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8" s="80">
        <f t="array" ref="AY28">IFERROR(_xlfn.LET(_xlpm.rate,INDEX('Mutual of Omaha-Graded'!$B$2:$E$37,MATCH($AE28,'Mutual of Omaha-Graded'!$A$2:$A$37,0),IF(LOWER(TRIM($F28))="male",IF(LOWER(TRIM($K28))="yes",2,1),IF(LOWER(TRIM($K28))="yes",4,3))),_xlpm.coverage,VALUE(SUBSTITUTE(SUBSTITUTE($S28,"$",""),",","")),_xlpm.base,_xlpm.rate*(_xlpm.coverage/1000),_xlpm.fee,_xlfn.XLOOKUP("Mutual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8" s="80">
        <f>AP28</f>
        <v/>
      </c>
      <c r="BA28" s="80">
        <f>IFERROR(IF(AND(AP28&gt;0,AP28&lt;VALUE(SUBSTITUTE(SUBSTITUTE($T28,"$",""),",",""))),VALUE(SUBSTITUTE(SUBSTITUTE($T28,"$",""),",",""))-AP28,""),"")</f>
        <v/>
      </c>
      <c r="BB28" s="80">
        <f>AL28</f>
        <v/>
      </c>
      <c r="BC28" s="80">
        <f>IFERROR(IF(AND(AL28&gt;0,AL28&lt;VALUE(SUBSTITUTE(SUBSTITUTE($T28,"$",""),",",""))),VALUE(SUBSTITUTE(SUBSTITUTE($T28,"$",""),",",""))-AL28,""),"")</f>
        <v/>
      </c>
      <c r="BD28">
        <f t="array" ref="BD28">IFERROR(_xlfn.LET(_xlpm.current,VALUE(SUBSTITUTE(SUBSTITUTE($T28,"$",""),",","")),_xlpm.quotes,AF28:AY28,_xlpm.lowest,_xlfn.MINIFS(_xlpm.quotes,_xlpm.quotes,"&lt;"&amp;_xlpm.current,_xlpm.quotes,"&gt;0"),IF(_xlpm.lowest="","",SUBSTITUTE(INDEX($AF$1:$AY$1,1,MATCH(_xlpm.lowest,_xlpm.quotes,0))," Monthly Quote",""))),"")</f>
        <v/>
      </c>
      <c r="BE28" s="80">
        <f t="array" ref="BE28">IFERROR(_xlfn.LET(_xlpm.current,VALUE(SUBSTITUTE(SUBSTITUTE($T28,"$",""),",","")),_xlpm.quotes,AF28:AY28,_xlpm.lowest,_xlfn.MINIFS(_xlpm.quotes,_xlpm.quotes,"&lt;"&amp;_xlpm.current,_xlpm.quotes,"&gt;0"),IF(_xlpm.lowest="","",_xlpm.current-_xlpm.lowest)),"")</f>
        <v/>
      </c>
    </row>
    <row r="29">
      <c r="A29" s="67" t="inlineStr">
        <is>
          <t>Charlotte N</t>
        </is>
      </c>
      <c r="B29" s="67" t="inlineStr">
        <is>
          <t>Founds</t>
        </is>
      </c>
      <c r="C29" s="68" t="n">
        <v>7577893247</v>
      </c>
      <c r="D29" s="68" t="n">
        <v>75</v>
      </c>
      <c r="E29" s="69" t="n">
        <v>18314</v>
      </c>
      <c r="F29" s="67" t="inlineStr">
        <is>
          <t>female</t>
        </is>
      </c>
      <c r="G29" s="67" t="inlineStr">
        <is>
          <t>20445 Baldpate Ln Onancock, VA 23417</t>
        </is>
      </c>
      <c r="H29" s="67" t="inlineStr">
        <is>
          <t>DE</t>
        </is>
      </c>
      <c r="I29" s="68" t="n">
        <v>5.3</v>
      </c>
      <c r="J29" s="68" t="n">
        <v>101</v>
      </c>
      <c r="K29" s="67" t="inlineStr">
        <is>
          <t>No</t>
        </is>
      </c>
      <c r="L29" s="67" t="n"/>
      <c r="M29" s="67" t="inlineStr">
        <is>
          <t>Cremation</t>
        </is>
      </c>
      <c r="N29" s="67" t="inlineStr">
        <is>
          <t>Shirley Ann O'Toole - 01 13 1963</t>
        </is>
      </c>
      <c r="O29" s="67" t="inlineStr">
        <is>
          <t>cousin</t>
        </is>
      </c>
      <c r="P29" s="67" t="n"/>
      <c r="Q29" s="67" t="n"/>
      <c r="R29" s="67" t="inlineStr">
        <is>
          <t>RNA</t>
        </is>
      </c>
      <c r="S29" s="70" t="n">
        <v>5000</v>
      </c>
      <c r="T29" s="71" t="n">
        <v>43.15</v>
      </c>
      <c r="U29" s="69" t="n">
        <v>45989</v>
      </c>
      <c r="V29" s="69" t="n">
        <v>46019</v>
      </c>
      <c r="W29" s="68" t="n">
        <v>222366496</v>
      </c>
      <c r="X29" s="67" t="inlineStr">
        <is>
          <t>no</t>
        </is>
      </c>
      <c r="Y29" s="67" t="inlineStr">
        <is>
          <t>Taylor bank</t>
        </is>
      </c>
      <c r="Z29" s="68" t="n">
        <v>52101012</v>
      </c>
      <c r="AA29" s="68" t="n">
        <v>1701338006</v>
      </c>
      <c r="AB29" s="67" t="inlineStr">
        <is>
          <t>NOo</t>
        </is>
      </c>
      <c r="AC29" s="67" t="inlineStr">
        <is>
          <t>no</t>
        </is>
      </c>
      <c r="AD29" s="67" t="inlineStr">
        <is>
          <t>NA</t>
        </is>
      </c>
      <c r="AE29" s="68" t="n">
        <v>76</v>
      </c>
      <c r="AF29" s="80">
        <f t="array" ref="AF29">IFERROR(_xlfn.LET(_xlpm.rate,INDEX(aflac!$B$2:$E$37,MATCH($AE29,aflac!$A$2:$A$37,0),IF(LOWER(TRIM($F29))="male",IF(LOWER(TRIM($K29))="yes",2,1),IF(LOWER(TRIM($K29))="yes",4,3))),_xlpm.coverage,VALUE(SUBSTITUTE(SUBSTITUTE($S29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29" s="80">
        <f t="array" ref="AG29">IFERROR(_xlfn.LET(_xlpm.rate,INDEX('aflac-modified'!$B$2:$C$32,MATCH($AE29,'aflac-modified'!$A$2:$A$32,0),IF(LOWER(TRIM($F29))="male",1,2)),_xlpm.coverage,VALUE(SUBSTITUTE(SUBSTITUTE($S29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29" s="80">
        <f t="array" ref="AH29">IFERROR(_xlfn.LET(_xlpm.rate,INDEX(SBLI!$B$2:$E$37,MATCH($AE29,SBLI!$A$2:$A$37,0),IF(LOWER(TRIM($F29))="male",IF(LOWER(TRIM($K29))="yes",2,1),IF(LOWER(TRIM($K29))="yes",4,3))),_xlpm.coverage,VALUE(SUBSTITUTE(SUBSTITUTE($S29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29" s="80">
        <f t="array" ref="AI29">IFERROR(_xlfn.LET(_xlpm.rate,INDEX('SBLI-Modified'!$B$2:$E$27,MATCH($AE29,'SBLI-Modified'!$A$2:$A$27,0),IF(LOWER(TRIM($F29))="male",IF(LOWER(TRIM($K29))="yes",2,1),IF(LOWER(TRIM($K29))="yes",4,3))),_xlpm.coverage,VALUE(SUBSTITUTE(SUBSTITUTE($S29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29" s="80">
        <f t="array" ref="AJ29">IFERROR(_xlfn.LET(_xlpm.rate,INDEX(CICA!$B$2:$C$42,MATCH($AE29,CICA!$A$2:$A$42,0),IF(LOWER(TRIM($F29))="male",1,2)),_xlpm.coverage,VALUE(SUBSTITUTE(SUBSTITUTE($S29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29" s="80">
        <f t="array" ref="AK29">IFERROR(_xlfn.LET(_xlpm.rate,INDEX('CICA-GI'!$B$2:$C$47,MATCH($AE29,'CICA-GI'!$A$2:$A$47,0),IF(LOWER(TRIM($F29))="male",1,2)),_xlpm.coverage,VALUE(SUBSTITUTE(SUBSTITUTE($S29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29" s="80">
        <f t="array" ref="AL29">IFERROR(_xlfn.LET(_xlpm.rate,INDEX(gtl!$B$2:$C$52,MATCH($AE29,gtl!$A$2:$A$52,0),IF(LOWER(TRIM($F29))="male",1,2)),_xlpm.coverage,VALUE(SUBSTITUTE(SUBSTITUTE($S29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29" s="80">
        <f t="array" ref="AM29">IFERROR(_xlfn.LET(_xlpm.rate,INDEX(TransAmerica!$B$2:$E$69,MATCH($AE29,TransAmerica!$A$2:$A$69,0),IF(LOWER(TRIM($F29))="male",IF(LOWER(TRIM($K29))="yes",2,1),IF(LOWER(TRIM($K29))="yes",4,3))),_xlpm.coverage,VALUE(SUBSTITUTE(SUBSTITUTE($S29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29" s="80">
        <f t="array" ref="AN29">IFERROR(_xlfn.LET(_xlpm.rate,INDEX('TransAmerica Graded'!$B$2:$E$64,MATCH($AE29,'TransAmerica Graded'!$A$2:$A$64,0),IF(LOWER(TRIM($F29))="male",IF(LOWER(TRIM($K29))="yes",2,1),IF(LOWER(TRIM($K29))="yes",4,3))),_xlpm.coverage,VALUE(SUBSTITUTE(SUBSTITUTE($S29,"$",""),",","")),_xlpm.base,_xlpm.rate*(_xlpm.coverage/1000),_xlpm.fee,_xlfn.XLOOKUP("TransAmerica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29" s="80">
        <f t="array" ref="AO29">IFERROR(_xlfn.LET(_xlpm.rate,INDEX(Corebridge!$B$2:$C$32,MATCH($AE29,Corebridge!$A$2:$A$32,0),IF(LOWER(TRIM($F29))="male",1,2)),_xlpm.coverage,VALUE(SUBSTITUTE(SUBSTITUTE($S29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29" s="80">
        <f t="array" ref="AP29">IFERROR(_xlfn.LET(_xlpm.rate,INDEX(amam!$B$2:$E$37,MATCH($AE29,amam!$A$2:$A$37,0),IF(LOWER(TRIM($F29))="male",IF(LOWER(TRIM($K29))="yes",2,1),IF(LOWER(TRIM($K29))="yes",4,3))),_xlpm.coverage,VALUE(SUBSTITUTE(SUBSTITUTE($S29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29" s="80">
        <f t="array" ref="AQ29">IFERROR(_xlfn.LET(_xlpm.rate,INDEX('amam-graded'!$B$2:$E$37,MATCH($AE29,'amam-graded'!$A$2:$A$37,0),IF(LOWER(TRIM($F29))="male",IF(LOWER(TRIM($K29))="yes",2,1),IF(LOWER(TRIM($K29))="yes",4,3))),_xlpm.coverage,VALUE(SUBSTITUTE(SUBSTITUTE($S29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29" s="80">
        <f t="array" ref="AR29">IFERROR(_xlfn.LET(_xlpm.rate,INDEX('amam-return-or-premium'!$B$2:$E$37,MATCH($AE29,'amam-return-or-premium'!$A$2:$A$37,0),IF(LOWER(TRIM($F29))="male",IF(LOWER(TRIM($K29))="yes",2,1),IF(LOWER(TRIM($K29))="yes",4,3))),_xlpm.coverage,VALUE(SUBSTITUTE(SUBSTITUTE($S29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29" s="80">
        <f t="array" ref="AS29">IFERROR(_xlfn.LET(_xlpm.rate,INDEX(AHL!$B$2:$E$37,MATCH($AE29,AHL!$A$2:$A$37,0),IF(LOWER(TRIM($F29))="male",IF(LOWER(TRIM($K29))="yes",2,1),IF(LOWER(TRIM($K29))="yes",4,3))),_xlpm.coverage,VALUE(SUBSTITUTE(SUBSTITUTE($S29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29" s="80">
        <f t="array" ref="AT29">IFERROR(_xlfn.LET(_xlpm.rate,INDEX('AHL-Graded'!$B$2:$E$32,MATCH($AE29,'AHL-Graded'!$A$2:$A$32,0),IF(LOWER(TRIM($F29))="male",IF(LOWER(TRIM($K29))="yes",2,1),IF(LOWER(TRIM($K29))="yes",4,3))),_xlpm.coverage,VALUE(SUBSTITUTE(SUBSTITUTE($S29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29" s="80">
        <f t="array" ref="AU29">IFERROR(_xlfn.LET(_xlpm.rate,INDEX('Royal Neighbors'!$B$2:$E$37,MATCH($AE29,'Royal Neighbors'!$A$2:$A$37,0),IF(LOWER(TRIM($F29))="male",IF(LOWER(TRIM($K29))="yes",2,1),IF(LOWER(TRIM($K29))="yes",4,3))),_xlpm.coverage,VALUE(SUBSTITUTE(SUBSTITUTE($S29,"$",""),",","")),_xlpm.base,_xlpm.rate*(_xlpm.coverage/1000),_xlpm.fee,_xlfn.XLOOKUP("Royal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29" s="80">
        <f t="array" ref="AV29">IFERROR(_xlfn.LET(_xlpm.rate,INDEX('Royal Neighbors-Graded'!$B$2:$E$37,MATCH($AE29,'Royal Neighbors-Graded'!$A$2:$A$37,0),IF(LOWER(TRIM($F29))="male",IF(LOWER(TRIM($K29))="yes",2,1),IF(LOWER(TRIM($K29))="yes",4,3))),_xlpm.coverage,VALUE(SUBSTITUTE(SUBSTITUTE($S29,"$",""),",","")),_xlpm.base,_xlpm.rate*(_xlpm.coverage/1000),_xlpm.fee,_xlfn.XLOOKUP("Royal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29" s="80">
        <f t="array" ref="AW29">IFERROR(_xlfn.LET(_xlpm.rate,INDEX('Gerber-GI'!$B$2:$C$32,MATCH($AE29,'Gerber-GI'!$A$2:$A$32,0),IF(LOWER(TRIM($F29))="male",1,2)),_xlpm.coverage,VALUE(SUBSTITUTE(SUBSTITUTE($S29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29" s="80">
        <f t="array" ref="AX29">IFERROR(_xlfn.LET(_xlpm.rate,INDEX('Mutual of Omaha'!$B$2:$E$42,MATCH($AE29,'Mutual of Omaha'!$A$2:$A$42,0),IF(LOWER(TRIM($F29))="male",IF(LOWER(TRIM($K29))="yes",2,1),IF(LOWER(TRIM($K29))="yes",4,3))),_xlpm.coverage,VALUE(SUBSTITUTE(SUBSTITUTE($S29,"$",""),",","")),_xlpm.base,_xlpm.rate*(_xlpm.coverage/1000),_xlpm.fee,_xlfn.XLOOKUP("Mutal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29" s="80">
        <f t="array" ref="AY29">IFERROR(_xlfn.LET(_xlpm.rate,INDEX('Mutual of Omaha-Graded'!$B$2:$E$37,MATCH($AE29,'Mutual of Omaha-Graded'!$A$2:$A$37,0),IF(LOWER(TRIM($F29))="male",IF(LOWER(TRIM($K29))="yes",2,1),IF(LOWER(TRIM($K29))="yes",4,3))),_xlpm.coverage,VALUE(SUBSTITUTE(SUBSTITUTE($S29,"$",""),",","")),_xlpm.base,_xlpm.rate*(_xlpm.coverage/1000),_xlpm.fee,_xlfn.XLOOKUP("Mutual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29" s="80">
        <f>AP29</f>
        <v/>
      </c>
      <c r="BA29" s="80">
        <f>IFERROR(IF(AND(AP29&gt;0,AP29&lt;VALUE(SUBSTITUTE(SUBSTITUTE($T29,"$",""),",",""))),VALUE(SUBSTITUTE(SUBSTITUTE($T29,"$",""),",",""))-AP29,""),"")</f>
        <v/>
      </c>
      <c r="BB29" s="80">
        <f>AL29</f>
        <v/>
      </c>
      <c r="BC29" s="80">
        <f>IFERROR(IF(AND(AL29&gt;0,AL29&lt;VALUE(SUBSTITUTE(SUBSTITUTE($T29,"$",""),",",""))),VALUE(SUBSTITUTE(SUBSTITUTE($T29,"$",""),",",""))-AL29,""),"")</f>
        <v/>
      </c>
      <c r="BD29">
        <f t="array" ref="BD29">IFERROR(_xlfn.LET(_xlpm.current,VALUE(SUBSTITUTE(SUBSTITUTE($T29,"$",""),",","")),_xlpm.quotes,AF29:AY29,_xlpm.lowest,_xlfn.MINIFS(_xlpm.quotes,_xlpm.quotes,"&lt;"&amp;_xlpm.current,_xlpm.quotes,"&gt;0"),IF(_xlpm.lowest="","",SUBSTITUTE(INDEX($AF$1:$AY$1,1,MATCH(_xlpm.lowest,_xlpm.quotes,0))," Monthly Quote",""))),"")</f>
        <v/>
      </c>
      <c r="BE29" s="80">
        <f t="array" ref="BE29">IFERROR(_xlfn.LET(_xlpm.current,VALUE(SUBSTITUTE(SUBSTITUTE($T29,"$",""),",","")),_xlpm.quotes,AF29:AY29,_xlpm.lowest,_xlfn.MINIFS(_xlpm.quotes,_xlpm.quotes,"&lt;"&amp;_xlpm.current,_xlpm.quotes,"&gt;0"),IF(_xlpm.lowest="","",_xlpm.current-_xlpm.lowest)),"")</f>
        <v/>
      </c>
    </row>
    <row r="30">
      <c r="A30" s="67" t="inlineStr">
        <is>
          <t>Micheal Dunken</t>
        </is>
      </c>
      <c r="B30" s="67" t="inlineStr">
        <is>
          <t>Allen</t>
        </is>
      </c>
      <c r="C30" s="68" t="n">
        <v>8013944121</v>
      </c>
      <c r="D30" s="68" t="n">
        <v>65</v>
      </c>
      <c r="E30" s="69" t="n">
        <v>22169</v>
      </c>
      <c r="F30" s="67" t="inlineStr">
        <is>
          <t>Male</t>
        </is>
      </c>
      <c r="G30" s="67" t="inlineStr">
        <is>
          <t>739 28th St Ogden UT 84403</t>
        </is>
      </c>
      <c r="H30" s="67" t="inlineStr">
        <is>
          <t>ID</t>
        </is>
      </c>
      <c r="I30" s="68" t="n">
        <v>5.4</v>
      </c>
      <c r="J30" s="68" t="n">
        <v>130</v>
      </c>
      <c r="K30" s="67" t="inlineStr">
        <is>
          <t>No</t>
        </is>
      </c>
      <c r="L30" s="67" t="inlineStr">
        <is>
          <t>.</t>
        </is>
      </c>
      <c r="M30" s="67" t="inlineStr">
        <is>
          <t>Burial</t>
        </is>
      </c>
      <c r="N30" s="67" t="inlineStr">
        <is>
          <t>Joycelin Allen: 04/25/2000</t>
        </is>
      </c>
      <c r="O30" s="67" t="inlineStr">
        <is>
          <t>Daughter</t>
        </is>
      </c>
      <c r="P30" s="67" t="inlineStr">
        <is>
          <t>.</t>
        </is>
      </c>
      <c r="Q30" s="67" t="inlineStr">
        <is>
          <t>.</t>
        </is>
      </c>
      <c r="R30" s="67" t="inlineStr">
        <is>
          <t>RNA</t>
        </is>
      </c>
      <c r="S30" s="70" t="n">
        <v>5000</v>
      </c>
      <c r="T30" s="68" t="n">
        <v>32.15</v>
      </c>
      <c r="U30" s="69" t="n">
        <v>45996</v>
      </c>
      <c r="V30" s="69" t="n">
        <v>46027</v>
      </c>
      <c r="W30" s="68" t="n">
        <v>518964622</v>
      </c>
      <c r="X30" s="67" t="inlineStr">
        <is>
          <t>.</t>
        </is>
      </c>
      <c r="Y30" s="67" t="inlineStr">
        <is>
          <t>Golden West CU</t>
        </is>
      </c>
      <c r="Z30" s="68" t="n">
        <v>324377613</v>
      </c>
      <c r="AA30" s="72" t="n">
        <v>190000000000</v>
      </c>
      <c r="AB30" s="67" t="inlineStr">
        <is>
          <t>hyper ige syndrome</t>
        </is>
      </c>
      <c r="AC30" s="67" t="inlineStr">
        <is>
          <t>Terconazole</t>
        </is>
      </c>
      <c r="AD30" s="67" t="inlineStr">
        <is>
          <t>Dr. Christianson</t>
        </is>
      </c>
      <c r="AE30" s="68" t="n">
        <v>65</v>
      </c>
      <c r="AF30" s="80">
        <f t="array" ref="AF30">IFERROR(_xlfn.LET(_xlpm.rate,INDEX(aflac!$B$2:$E$37,MATCH($AE30,aflac!$A$2:$A$37,0),IF(LOWER(TRIM($F30))="male",IF(LOWER(TRIM($K30))="yes",2,1),IF(LOWER(TRIM($K30))="yes",4,3))),_xlpm.coverage,VALUE(SUBSTITUTE(SUBSTITUTE($S30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0" s="80">
        <f t="array" ref="AG30">IFERROR(_xlfn.LET(_xlpm.rate,INDEX('aflac-modified'!$B$2:$C$32,MATCH($AE30,'aflac-modified'!$A$2:$A$32,0),IF(LOWER(TRIM($F30))="male",1,2)),_xlpm.coverage,VALUE(SUBSTITUTE(SUBSTITUTE($S30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0" s="80">
        <f t="array" ref="AH30">IFERROR(_xlfn.LET(_xlpm.rate,INDEX(SBLI!$B$2:$E$37,MATCH($AE30,SBLI!$A$2:$A$37,0),IF(LOWER(TRIM($F30))="male",IF(LOWER(TRIM($K30))="yes",2,1),IF(LOWER(TRIM($K30))="yes",4,3))),_xlpm.coverage,VALUE(SUBSTITUTE(SUBSTITUTE($S30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0" s="80">
        <f t="array" ref="AI30">IFERROR(_xlfn.LET(_xlpm.rate,INDEX('SBLI-Modified'!$B$2:$E$27,MATCH($AE30,'SBLI-Modified'!$A$2:$A$27,0),IF(LOWER(TRIM($F30))="male",IF(LOWER(TRIM($K30))="yes",2,1),IF(LOWER(TRIM($K30))="yes",4,3))),_xlpm.coverage,VALUE(SUBSTITUTE(SUBSTITUTE($S30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0" s="80">
        <f t="array" ref="AJ30">IFERROR(_xlfn.LET(_xlpm.rate,INDEX(CICA!$B$2:$C$42,MATCH($AE30,CICA!$A$2:$A$42,0),IF(LOWER(TRIM($F30))="male",1,2)),_xlpm.coverage,VALUE(SUBSTITUTE(SUBSTITUTE($S30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0" s="80">
        <f t="array" ref="AK30">IFERROR(_xlfn.LET(_xlpm.rate,INDEX('CICA-GI'!$B$2:$C$47,MATCH($AE30,'CICA-GI'!$A$2:$A$47,0),IF(LOWER(TRIM($F30))="male",1,2)),_xlpm.coverage,VALUE(SUBSTITUTE(SUBSTITUTE($S30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0" s="80">
        <f t="array" ref="AL30">IFERROR(_xlfn.LET(_xlpm.rate,INDEX(gtl!$B$2:$C$52,MATCH($AE30,gtl!$A$2:$A$52,0),IF(LOWER(TRIM($F30))="male",1,2)),_xlpm.coverage,VALUE(SUBSTITUTE(SUBSTITUTE($S30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0" s="80">
        <f t="array" ref="AM30">IFERROR(_xlfn.LET(_xlpm.rate,INDEX(TransAmerica!$B$2:$E$69,MATCH($AE30,TransAmerica!$A$2:$A$69,0),IF(LOWER(TRIM($F30))="male",IF(LOWER(TRIM($K30))="yes",2,1),IF(LOWER(TRIM($K30))="yes",4,3))),_xlpm.coverage,VALUE(SUBSTITUTE(SUBSTITUTE($S30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0" s="80">
        <f t="array" ref="AN30">IFERROR(_xlfn.LET(_xlpm.rate,INDEX('TransAmerica Graded'!$B$2:$E$64,MATCH($AE30,'TransAmerica Graded'!$A$2:$A$64,0),IF(LOWER(TRIM($F30))="male",IF(LOWER(TRIM($K30))="yes",2,1),IF(LOWER(TRIM($K30))="yes",4,3))),_xlpm.coverage,VALUE(SUBSTITUTE(SUBSTITUTE($S30,"$",""),",","")),_xlpm.base,_xlpm.rate*(_xlpm.coverage/1000),_xlpm.fee,_xlfn.XLOOKUP("TransAmerica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0" s="80">
        <f t="array" ref="AO30">IFERROR(_xlfn.LET(_xlpm.rate,INDEX(Corebridge!$B$2:$C$32,MATCH($AE30,Corebridge!$A$2:$A$32,0),IF(LOWER(TRIM($F30))="male",1,2)),_xlpm.coverage,VALUE(SUBSTITUTE(SUBSTITUTE($S30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0" s="80">
        <f t="array" ref="AP30">IFERROR(_xlfn.LET(_xlpm.rate,INDEX(amam!$B$2:$E$37,MATCH($AE30,amam!$A$2:$A$37,0),IF(LOWER(TRIM($F30))="male",IF(LOWER(TRIM($K30))="yes",2,1),IF(LOWER(TRIM($K30))="yes",4,3))),_xlpm.coverage,VALUE(SUBSTITUTE(SUBSTITUTE($S30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0" s="80">
        <f t="array" ref="AQ30">IFERROR(_xlfn.LET(_xlpm.rate,INDEX('amam-graded'!$B$2:$E$37,MATCH($AE30,'amam-graded'!$A$2:$A$37,0),IF(LOWER(TRIM($F30))="male",IF(LOWER(TRIM($K30))="yes",2,1),IF(LOWER(TRIM($K30))="yes",4,3))),_xlpm.coverage,VALUE(SUBSTITUTE(SUBSTITUTE($S30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0" s="80">
        <f t="array" ref="AR30">IFERROR(_xlfn.LET(_xlpm.rate,INDEX('amam-return-or-premium'!$B$2:$E$37,MATCH($AE30,'amam-return-or-premium'!$A$2:$A$37,0),IF(LOWER(TRIM($F30))="male",IF(LOWER(TRIM($K30))="yes",2,1),IF(LOWER(TRIM($K30))="yes",4,3))),_xlpm.coverage,VALUE(SUBSTITUTE(SUBSTITUTE($S30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0" s="80">
        <f t="array" ref="AS30">IFERROR(_xlfn.LET(_xlpm.rate,INDEX(AHL!$B$2:$E$37,MATCH($AE30,AHL!$A$2:$A$37,0),IF(LOWER(TRIM($F30))="male",IF(LOWER(TRIM($K30))="yes",2,1),IF(LOWER(TRIM($K30))="yes",4,3))),_xlpm.coverage,VALUE(SUBSTITUTE(SUBSTITUTE($S30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0" s="80">
        <f t="array" ref="AT30">IFERROR(_xlfn.LET(_xlpm.rate,INDEX('AHL-Graded'!$B$2:$E$32,MATCH($AE30,'AHL-Graded'!$A$2:$A$32,0),IF(LOWER(TRIM($F30))="male",IF(LOWER(TRIM($K30))="yes",2,1),IF(LOWER(TRIM($K30))="yes",4,3))),_xlpm.coverage,VALUE(SUBSTITUTE(SUBSTITUTE($S30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0" s="80">
        <f t="array" ref="AU30">IFERROR(_xlfn.LET(_xlpm.rate,INDEX('Royal Neighbors'!$B$2:$E$37,MATCH($AE30,'Royal Neighbors'!$A$2:$A$37,0),IF(LOWER(TRIM($F30))="male",IF(LOWER(TRIM($K30))="yes",2,1),IF(LOWER(TRIM($K30))="yes",4,3))),_xlpm.coverage,VALUE(SUBSTITUTE(SUBSTITUTE($S30,"$",""),",","")),_xlpm.base,_xlpm.rate*(_xlpm.coverage/1000),_xlpm.fee,_xlfn.XLOOKUP("Royal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0" s="80">
        <f t="array" ref="AV30">IFERROR(_xlfn.LET(_xlpm.rate,INDEX('Royal Neighbors-Graded'!$B$2:$E$37,MATCH($AE30,'Royal Neighbors-Graded'!$A$2:$A$37,0),IF(LOWER(TRIM($F30))="male",IF(LOWER(TRIM($K30))="yes",2,1),IF(LOWER(TRIM($K30))="yes",4,3))),_xlpm.coverage,VALUE(SUBSTITUTE(SUBSTITUTE($S30,"$",""),",","")),_xlpm.base,_xlpm.rate*(_xlpm.coverage/1000),_xlpm.fee,_xlfn.XLOOKUP("Royal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0" s="80">
        <f t="array" ref="AW30">IFERROR(_xlfn.LET(_xlpm.rate,INDEX('Gerber-GI'!$B$2:$C$32,MATCH($AE30,'Gerber-GI'!$A$2:$A$32,0),IF(LOWER(TRIM($F30))="male",1,2)),_xlpm.coverage,VALUE(SUBSTITUTE(SUBSTITUTE($S30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0" s="80">
        <f t="array" ref="AX30">IFERROR(_xlfn.LET(_xlpm.rate,INDEX('Mutual of Omaha'!$B$2:$E$42,MATCH($AE30,'Mutual of Omaha'!$A$2:$A$42,0),IF(LOWER(TRIM($F30))="male",IF(LOWER(TRIM($K30))="yes",2,1),IF(LOWER(TRIM($K30))="yes",4,3))),_xlpm.coverage,VALUE(SUBSTITUTE(SUBSTITUTE($S30,"$",""),",","")),_xlpm.base,_xlpm.rate*(_xlpm.coverage/1000),_xlpm.fee,_xlfn.XLOOKUP("Mutal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0" s="80">
        <f t="array" ref="AY30">IFERROR(_xlfn.LET(_xlpm.rate,INDEX('Mutual of Omaha-Graded'!$B$2:$E$37,MATCH($AE30,'Mutual of Omaha-Graded'!$A$2:$A$37,0),IF(LOWER(TRIM($F30))="male",IF(LOWER(TRIM($K30))="yes",2,1),IF(LOWER(TRIM($K30))="yes",4,3))),_xlpm.coverage,VALUE(SUBSTITUTE(SUBSTITUTE($S30,"$",""),",","")),_xlpm.base,_xlpm.rate*(_xlpm.coverage/1000),_xlpm.fee,_xlfn.XLOOKUP("Mutual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0" s="80">
        <f>AP30</f>
        <v/>
      </c>
      <c r="BA30" s="80">
        <f>IFERROR(IF(AND(AP30&gt;0,AP30&lt;VALUE(SUBSTITUTE(SUBSTITUTE($T30,"$",""),",",""))),VALUE(SUBSTITUTE(SUBSTITUTE($T30,"$",""),",",""))-AP30,""),"")</f>
        <v/>
      </c>
      <c r="BB30" s="80">
        <f>AL30</f>
        <v/>
      </c>
      <c r="BC30" s="80">
        <f>IFERROR(IF(AND(AL30&gt;0,AL30&lt;VALUE(SUBSTITUTE(SUBSTITUTE($T30,"$",""),",",""))),VALUE(SUBSTITUTE(SUBSTITUTE($T30,"$",""),",",""))-AL30,""),"")</f>
        <v/>
      </c>
      <c r="BD30">
        <f t="array" ref="BD30">IFERROR(_xlfn.LET(_xlpm.current,VALUE(SUBSTITUTE(SUBSTITUTE($T30,"$",""),",","")),_xlpm.quotes,AF30:AY30,_xlpm.lowest,_xlfn.MINIFS(_xlpm.quotes,_xlpm.quotes,"&lt;"&amp;_xlpm.current,_xlpm.quotes,"&gt;0"),IF(_xlpm.lowest="","",SUBSTITUTE(INDEX($AF$1:$AY$1,1,MATCH(_xlpm.lowest,_xlpm.quotes,0))," Monthly Quote",""))),"")</f>
        <v/>
      </c>
      <c r="BE30" s="80">
        <f t="array" ref="BE30">IFERROR(_xlfn.LET(_xlpm.current,VALUE(SUBSTITUTE(SUBSTITUTE($T30,"$",""),",","")),_xlpm.quotes,AF30:AY30,_xlpm.lowest,_xlfn.MINIFS(_xlpm.quotes,_xlpm.quotes,"&lt;"&amp;_xlpm.current,_xlpm.quotes,"&gt;0"),IF(_xlpm.lowest="","",_xlpm.current-_xlpm.lowest)),"")</f>
        <v/>
      </c>
    </row>
    <row r="31">
      <c r="A31" s="67" t="inlineStr">
        <is>
          <t>Linda L</t>
        </is>
      </c>
      <c r="B31" s="67" t="inlineStr">
        <is>
          <t>Reed</t>
        </is>
      </c>
      <c r="C31" s="68" t="n">
        <v>6082038865</v>
      </c>
      <c r="D31" s="68" t="n">
        <v>78</v>
      </c>
      <c r="E31" s="69" t="n">
        <v>17268</v>
      </c>
      <c r="F31" s="67" t="inlineStr">
        <is>
          <t>Female</t>
        </is>
      </c>
      <c r="G31" s="67" t="inlineStr">
        <is>
          <t>7641 Carrington Dr d Madison, WI 53719</t>
        </is>
      </c>
      <c r="H31" s="67" t="inlineStr">
        <is>
          <t>WI</t>
        </is>
      </c>
      <c r="I31" s="75" t="n">
        <v>46146</v>
      </c>
      <c r="J31" s="68" t="n">
        <v>115</v>
      </c>
      <c r="K31" s="67" t="inlineStr">
        <is>
          <t>No</t>
        </is>
      </c>
      <c r="L31" s="67" t="inlineStr">
        <is>
          <t>...</t>
        </is>
      </c>
      <c r="M31" s="67" t="inlineStr">
        <is>
          <t>Cremation</t>
        </is>
      </c>
      <c r="N31" s="67" t="inlineStr">
        <is>
          <t>Mathews Schmelzer</t>
        </is>
      </c>
      <c r="O31" s="67" t="inlineStr">
        <is>
          <t>Son</t>
        </is>
      </c>
      <c r="P31" s="67" t="inlineStr">
        <is>
          <t>...</t>
        </is>
      </c>
      <c r="Q31" s="67" t="inlineStr">
        <is>
          <t>...</t>
        </is>
      </c>
      <c r="R31" s="67" t="inlineStr">
        <is>
          <t>RNA</t>
        </is>
      </c>
      <c r="S31" s="70" t="n">
        <v>5000</v>
      </c>
      <c r="T31" s="70" t="n">
        <v>55</v>
      </c>
      <c r="U31" s="69" t="n">
        <v>46001</v>
      </c>
      <c r="V31" s="69" t="n">
        <v>46001</v>
      </c>
      <c r="W31" s="68" t="n">
        <v>391466473</v>
      </c>
      <c r="X31" s="67" t="inlineStr">
        <is>
          <t>...</t>
        </is>
      </c>
      <c r="Y31" s="67" t="inlineStr">
        <is>
          <t>First United bank</t>
        </is>
      </c>
      <c r="Z31" s="68" t="n">
        <v>111911321</v>
      </c>
      <c r="AA31" s="68" t="n">
        <v>594547</v>
      </c>
      <c r="AB31" s="67" t="inlineStr">
        <is>
          <t>No</t>
        </is>
      </c>
      <c r="AC31" s="67" t="inlineStr">
        <is>
          <t>no</t>
        </is>
      </c>
      <c r="AD31" s="67" t="inlineStr">
        <is>
          <t>no</t>
        </is>
      </c>
      <c r="AE31" s="68" t="n">
        <v>79</v>
      </c>
      <c r="AF31" s="80">
        <f t="array" ref="AF31">IFERROR(_xlfn.LET(_xlpm.rate,INDEX(aflac!$B$2:$E$37,MATCH($AE31,aflac!$A$2:$A$37,0),IF(LOWER(TRIM($F31))="male",IF(LOWER(TRIM($K31))="yes",2,1),IF(LOWER(TRIM($K31))="yes",4,3))),_xlpm.coverage,VALUE(SUBSTITUTE(SUBSTITUTE($S31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1" s="80">
        <f t="array" ref="AG31">IFERROR(_xlfn.LET(_xlpm.rate,INDEX('aflac-modified'!$B$2:$C$32,MATCH($AE31,'aflac-modified'!$A$2:$A$32,0),IF(LOWER(TRIM($F31))="male",1,2)),_xlpm.coverage,VALUE(SUBSTITUTE(SUBSTITUTE($S31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1" s="80">
        <f t="array" ref="AH31">IFERROR(_xlfn.LET(_xlpm.rate,INDEX(SBLI!$B$2:$E$37,MATCH($AE31,SBLI!$A$2:$A$37,0),IF(LOWER(TRIM($F31))="male",IF(LOWER(TRIM($K31))="yes",2,1),IF(LOWER(TRIM($K31))="yes",4,3))),_xlpm.coverage,VALUE(SUBSTITUTE(SUBSTITUTE($S31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1" s="80">
        <f t="array" ref="AI31">IFERROR(_xlfn.LET(_xlpm.rate,INDEX('SBLI-Modified'!$B$2:$E$27,MATCH($AE31,'SBLI-Modified'!$A$2:$A$27,0),IF(LOWER(TRIM($F31))="male",IF(LOWER(TRIM($K31))="yes",2,1),IF(LOWER(TRIM($K31))="yes",4,3))),_xlpm.coverage,VALUE(SUBSTITUTE(SUBSTITUTE($S31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1" s="80">
        <f t="array" ref="AJ31">IFERROR(_xlfn.LET(_xlpm.rate,INDEX(CICA!$B$2:$C$42,MATCH($AE31,CICA!$A$2:$A$42,0),IF(LOWER(TRIM($F31))="male",1,2)),_xlpm.coverage,VALUE(SUBSTITUTE(SUBSTITUTE($S31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1" s="80">
        <f t="array" ref="AK31">IFERROR(_xlfn.LET(_xlpm.rate,INDEX('CICA-GI'!$B$2:$C$47,MATCH($AE31,'CICA-GI'!$A$2:$A$47,0),IF(LOWER(TRIM($F31))="male",1,2)),_xlpm.coverage,VALUE(SUBSTITUTE(SUBSTITUTE($S31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1" s="80">
        <f t="array" ref="AL31">IFERROR(_xlfn.LET(_xlpm.rate,INDEX(gtl!$B$2:$C$52,MATCH($AE31,gtl!$A$2:$A$52,0),IF(LOWER(TRIM($F31))="male",1,2)),_xlpm.coverage,VALUE(SUBSTITUTE(SUBSTITUTE($S31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1" s="80">
        <f t="array" ref="AM31">IFERROR(_xlfn.LET(_xlpm.rate,INDEX(TransAmerica!$B$2:$E$69,MATCH($AE31,TransAmerica!$A$2:$A$69,0),IF(LOWER(TRIM($F31))="male",IF(LOWER(TRIM($K31))="yes",2,1),IF(LOWER(TRIM($K31))="yes",4,3))),_xlpm.coverage,VALUE(SUBSTITUTE(SUBSTITUTE($S31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1" s="80">
        <f t="array" ref="AN31">IFERROR(_xlfn.LET(_xlpm.rate,INDEX('TransAmerica Graded'!$B$2:$E$64,MATCH($AE31,'TransAmerica Graded'!$A$2:$A$64,0),IF(LOWER(TRIM($F31))="male",IF(LOWER(TRIM($K31))="yes",2,1),IF(LOWER(TRIM($K31))="yes",4,3))),_xlpm.coverage,VALUE(SUBSTITUTE(SUBSTITUTE($S31,"$",""),",","")),_xlpm.base,_xlpm.rate*(_xlpm.coverage/1000),_xlpm.fee,_xlfn.XLOOKUP("TransAmerica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1" s="80">
        <f t="array" ref="AO31">IFERROR(_xlfn.LET(_xlpm.rate,INDEX(Corebridge!$B$2:$C$32,MATCH($AE31,Corebridge!$A$2:$A$32,0),IF(LOWER(TRIM($F31))="male",1,2)),_xlpm.coverage,VALUE(SUBSTITUTE(SUBSTITUTE($S31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1" s="80">
        <f t="array" ref="AP31">IFERROR(_xlfn.LET(_xlpm.rate,INDEX(amam!$B$2:$E$37,MATCH($AE31,amam!$A$2:$A$37,0),IF(LOWER(TRIM($F31))="male",IF(LOWER(TRIM($K31))="yes",2,1),IF(LOWER(TRIM($K31))="yes",4,3))),_xlpm.coverage,VALUE(SUBSTITUTE(SUBSTITUTE($S31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1" s="80">
        <f t="array" ref="AQ31">IFERROR(_xlfn.LET(_xlpm.rate,INDEX('amam-graded'!$B$2:$E$37,MATCH($AE31,'amam-graded'!$A$2:$A$37,0),IF(LOWER(TRIM($F31))="male",IF(LOWER(TRIM($K31))="yes",2,1),IF(LOWER(TRIM($K31))="yes",4,3))),_xlpm.coverage,VALUE(SUBSTITUTE(SUBSTITUTE($S31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1" s="80">
        <f t="array" ref="AR31">IFERROR(_xlfn.LET(_xlpm.rate,INDEX('amam-return-or-premium'!$B$2:$E$37,MATCH($AE31,'amam-return-or-premium'!$A$2:$A$37,0),IF(LOWER(TRIM($F31))="male",IF(LOWER(TRIM($K31))="yes",2,1),IF(LOWER(TRIM($K31))="yes",4,3))),_xlpm.coverage,VALUE(SUBSTITUTE(SUBSTITUTE($S31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1" s="80">
        <f t="array" ref="AS31">IFERROR(_xlfn.LET(_xlpm.rate,INDEX(AHL!$B$2:$E$37,MATCH($AE31,AHL!$A$2:$A$37,0),IF(LOWER(TRIM($F31))="male",IF(LOWER(TRIM($K31))="yes",2,1),IF(LOWER(TRIM($K31))="yes",4,3))),_xlpm.coverage,VALUE(SUBSTITUTE(SUBSTITUTE($S31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1" s="80">
        <f t="array" ref="AT31">IFERROR(_xlfn.LET(_xlpm.rate,INDEX('AHL-Graded'!$B$2:$E$32,MATCH($AE31,'AHL-Graded'!$A$2:$A$32,0),IF(LOWER(TRIM($F31))="male",IF(LOWER(TRIM($K31))="yes",2,1),IF(LOWER(TRIM($K31))="yes",4,3))),_xlpm.coverage,VALUE(SUBSTITUTE(SUBSTITUTE($S31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1" s="80">
        <f t="array" ref="AU31">IFERROR(_xlfn.LET(_xlpm.rate,INDEX('Royal Neighbors'!$B$2:$E$37,MATCH($AE31,'Royal Neighbors'!$A$2:$A$37,0),IF(LOWER(TRIM($F31))="male",IF(LOWER(TRIM($K31))="yes",2,1),IF(LOWER(TRIM($K31))="yes",4,3))),_xlpm.coverage,VALUE(SUBSTITUTE(SUBSTITUTE($S31,"$",""),",","")),_xlpm.base,_xlpm.rate*(_xlpm.coverage/1000),_xlpm.fee,_xlfn.XLOOKUP("Royal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1" s="80">
        <f t="array" ref="AV31">IFERROR(_xlfn.LET(_xlpm.rate,INDEX('Royal Neighbors-Graded'!$B$2:$E$37,MATCH($AE31,'Royal Neighbors-Graded'!$A$2:$A$37,0),IF(LOWER(TRIM($F31))="male",IF(LOWER(TRIM($K31))="yes",2,1),IF(LOWER(TRIM($K31))="yes",4,3))),_xlpm.coverage,VALUE(SUBSTITUTE(SUBSTITUTE($S31,"$",""),",","")),_xlpm.base,_xlpm.rate*(_xlpm.coverage/1000),_xlpm.fee,_xlfn.XLOOKUP("Royal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1" s="80">
        <f t="array" ref="AW31">IFERROR(_xlfn.LET(_xlpm.rate,INDEX('Gerber-GI'!$B$2:$C$32,MATCH($AE31,'Gerber-GI'!$A$2:$A$32,0),IF(LOWER(TRIM($F31))="male",1,2)),_xlpm.coverage,VALUE(SUBSTITUTE(SUBSTITUTE($S31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1" s="80">
        <f t="array" ref="AX31">IFERROR(_xlfn.LET(_xlpm.rate,INDEX('Mutual of Omaha'!$B$2:$E$42,MATCH($AE31,'Mutual of Omaha'!$A$2:$A$42,0),IF(LOWER(TRIM($F31))="male",IF(LOWER(TRIM($K31))="yes",2,1),IF(LOWER(TRIM($K31))="yes",4,3))),_xlpm.coverage,VALUE(SUBSTITUTE(SUBSTITUTE($S31,"$",""),",","")),_xlpm.base,_xlpm.rate*(_xlpm.coverage/1000),_xlpm.fee,_xlfn.XLOOKUP("Mutal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1" s="80">
        <f t="array" ref="AY31">IFERROR(_xlfn.LET(_xlpm.rate,INDEX('Mutual of Omaha-Graded'!$B$2:$E$37,MATCH($AE31,'Mutual of Omaha-Graded'!$A$2:$A$37,0),IF(LOWER(TRIM($F31))="male",IF(LOWER(TRIM($K31))="yes",2,1),IF(LOWER(TRIM($K31))="yes",4,3))),_xlpm.coverage,VALUE(SUBSTITUTE(SUBSTITUTE($S31,"$",""),",","")),_xlpm.base,_xlpm.rate*(_xlpm.coverage/1000),_xlpm.fee,_xlfn.XLOOKUP("Mutual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1" s="80">
        <f>AP31</f>
        <v/>
      </c>
      <c r="BA31" s="80">
        <f>IFERROR(IF(AND(AP31&gt;0,AP31&lt;VALUE(SUBSTITUTE(SUBSTITUTE($T31,"$",""),",",""))),VALUE(SUBSTITUTE(SUBSTITUTE($T31,"$",""),",",""))-AP31,""),"")</f>
        <v/>
      </c>
      <c r="BB31" s="80">
        <f>AL31</f>
        <v/>
      </c>
      <c r="BC31" s="80">
        <f>IFERROR(IF(AND(AL31&gt;0,AL31&lt;VALUE(SUBSTITUTE(SUBSTITUTE($T31,"$",""),",",""))),VALUE(SUBSTITUTE(SUBSTITUTE($T31,"$",""),",",""))-AL31,""),"")</f>
        <v/>
      </c>
      <c r="BD31">
        <f t="array" ref="BD31">IFERROR(_xlfn.LET(_xlpm.current,VALUE(SUBSTITUTE(SUBSTITUTE($T31,"$",""),",","")),_xlpm.quotes,AF31:AY31,_xlpm.lowest,_xlfn.MINIFS(_xlpm.quotes,_xlpm.quotes,"&lt;"&amp;_xlpm.current,_xlpm.quotes,"&gt;0"),IF(_xlpm.lowest="","",SUBSTITUTE(INDEX($AF$1:$AY$1,1,MATCH(_xlpm.lowest,_xlpm.quotes,0))," Monthly Quote",""))),"")</f>
        <v/>
      </c>
      <c r="BE31" s="80">
        <f t="array" ref="BE31">IFERROR(_xlfn.LET(_xlpm.current,VALUE(SUBSTITUTE(SUBSTITUTE($T31,"$",""),",","")),_xlpm.quotes,AF31:AY31,_xlpm.lowest,_xlfn.MINIFS(_xlpm.quotes,_xlpm.quotes,"&lt;"&amp;_xlpm.current,_xlpm.quotes,"&gt;0"),IF(_xlpm.lowest="","",_xlpm.current-_xlpm.lowest)),"")</f>
        <v/>
      </c>
    </row>
    <row r="32">
      <c r="A32" s="67" t="inlineStr">
        <is>
          <t>Sandra K</t>
        </is>
      </c>
      <c r="B32" s="67" t="inlineStr">
        <is>
          <t>Leech</t>
        </is>
      </c>
      <c r="C32" s="68" t="n">
        <v>6623151383</v>
      </c>
      <c r="D32" s="68" t="n">
        <v>78</v>
      </c>
      <c r="E32" s="69" t="n">
        <v>17403</v>
      </c>
      <c r="F32" s="67" t="inlineStr">
        <is>
          <t>Female</t>
        </is>
      </c>
      <c r="G32" s="67" t="inlineStr">
        <is>
          <t>60146 MS-23 Smithville, MS 38870</t>
        </is>
      </c>
      <c r="H32" s="67" t="inlineStr">
        <is>
          <t>MS</t>
        </is>
      </c>
      <c r="I32" s="68" t="n">
        <v>5.6</v>
      </c>
      <c r="J32" s="68" t="n">
        <v>137</v>
      </c>
      <c r="K32" s="67" t="inlineStr">
        <is>
          <t>No</t>
        </is>
      </c>
      <c r="L32" s="67" t="n"/>
      <c r="M32" s="67" t="inlineStr">
        <is>
          <t>Cremation</t>
        </is>
      </c>
      <c r="N32" s="67" t="inlineStr">
        <is>
          <t>( Jessie Rex - 80)</t>
        </is>
      </c>
      <c r="O32" s="67" t="inlineStr">
        <is>
          <t>Spouse</t>
        </is>
      </c>
      <c r="P32" s="67" t="n"/>
      <c r="Q32" s="67" t="n"/>
      <c r="R32" s="67" t="inlineStr">
        <is>
          <t>RNA</t>
        </is>
      </c>
      <c r="S32" s="70" t="n">
        <v>5000</v>
      </c>
      <c r="T32" s="71" t="n">
        <v>55</v>
      </c>
      <c r="U32" s="69" t="n">
        <v>46011</v>
      </c>
      <c r="V32" s="69" t="n">
        <v>46042</v>
      </c>
      <c r="W32" s="68" t="n">
        <v>424628725</v>
      </c>
      <c r="X32" s="67" t="inlineStr">
        <is>
          <t>no</t>
        </is>
      </c>
      <c r="Y32" s="67" t="inlineStr">
        <is>
          <t>First National Bank</t>
        </is>
      </c>
      <c r="Z32" s="68" t="n">
        <v>62202859</v>
      </c>
      <c r="AA32" s="68" t="n">
        <v>40121886</v>
      </c>
      <c r="AB32" s="67" t="inlineStr">
        <is>
          <t>HBP Cholesterol COPD</t>
        </is>
      </c>
      <c r="AC32" s="67" t="inlineStr">
        <is>
          <t>2 Pills Inhaler</t>
        </is>
      </c>
      <c r="AD32" s="67" t="inlineStr">
        <is>
          <t>Dr. Noel Garcia, MD - Internist in Tupelo, MS</t>
        </is>
      </c>
      <c r="AE32" s="68" t="n">
        <v>78</v>
      </c>
      <c r="AF32" s="80">
        <f t="array" ref="AF32">IFERROR(_xlfn.LET(_xlpm.rate,INDEX(aflac!$B$2:$E$37,MATCH($AE32,aflac!$A$2:$A$37,0),IF(LOWER(TRIM($F32))="male",IF(LOWER(TRIM($K32))="yes",2,1),IF(LOWER(TRIM($K32))="yes",4,3))),_xlpm.coverage,VALUE(SUBSTITUTE(SUBSTITUTE($S32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2" s="80">
        <f t="array" ref="AG32">IFERROR(_xlfn.LET(_xlpm.rate,INDEX('aflac-modified'!$B$2:$C$32,MATCH($AE32,'aflac-modified'!$A$2:$A$32,0),IF(LOWER(TRIM($F32))="male",1,2)),_xlpm.coverage,VALUE(SUBSTITUTE(SUBSTITUTE($S32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2" s="80">
        <f t="array" ref="AH32">IFERROR(_xlfn.LET(_xlpm.rate,INDEX(SBLI!$B$2:$E$37,MATCH($AE32,SBLI!$A$2:$A$37,0),IF(LOWER(TRIM($F32))="male",IF(LOWER(TRIM($K32))="yes",2,1),IF(LOWER(TRIM($K32))="yes",4,3))),_xlpm.coverage,VALUE(SUBSTITUTE(SUBSTITUTE($S32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2" s="80">
        <f t="array" ref="AI32">IFERROR(_xlfn.LET(_xlpm.rate,INDEX('SBLI-Modified'!$B$2:$E$27,MATCH($AE32,'SBLI-Modified'!$A$2:$A$27,0),IF(LOWER(TRIM($F32))="male",IF(LOWER(TRIM($K32))="yes",2,1),IF(LOWER(TRIM($K32))="yes",4,3))),_xlpm.coverage,VALUE(SUBSTITUTE(SUBSTITUTE($S32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2" s="80">
        <f t="array" ref="AJ32">IFERROR(_xlfn.LET(_xlpm.rate,INDEX(CICA!$B$2:$C$42,MATCH($AE32,CICA!$A$2:$A$42,0),IF(LOWER(TRIM($F32))="male",1,2)),_xlpm.coverage,VALUE(SUBSTITUTE(SUBSTITUTE($S32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2" s="80">
        <f t="array" ref="AK32">IFERROR(_xlfn.LET(_xlpm.rate,INDEX('CICA-GI'!$B$2:$C$47,MATCH($AE32,'CICA-GI'!$A$2:$A$47,0),IF(LOWER(TRIM($F32))="male",1,2)),_xlpm.coverage,VALUE(SUBSTITUTE(SUBSTITUTE($S32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2" s="80">
        <f t="array" ref="AL32">IFERROR(_xlfn.LET(_xlpm.rate,INDEX(gtl!$B$2:$C$52,MATCH($AE32,gtl!$A$2:$A$52,0),IF(LOWER(TRIM($F32))="male",1,2)),_xlpm.coverage,VALUE(SUBSTITUTE(SUBSTITUTE($S32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2" s="80">
        <f t="array" ref="AM32">IFERROR(_xlfn.LET(_xlpm.rate,INDEX(TransAmerica!$B$2:$E$69,MATCH($AE32,TransAmerica!$A$2:$A$69,0),IF(LOWER(TRIM($F32))="male",IF(LOWER(TRIM($K32))="yes",2,1),IF(LOWER(TRIM($K32))="yes",4,3))),_xlpm.coverage,VALUE(SUBSTITUTE(SUBSTITUTE($S32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2" s="80">
        <f t="array" ref="AN32">IFERROR(_xlfn.LET(_xlpm.rate,INDEX('TransAmerica Graded'!$B$2:$E$64,MATCH($AE32,'TransAmerica Graded'!$A$2:$A$64,0),IF(LOWER(TRIM($F32))="male",IF(LOWER(TRIM($K32))="yes",2,1),IF(LOWER(TRIM($K32))="yes",4,3))),_xlpm.coverage,VALUE(SUBSTITUTE(SUBSTITUTE($S32,"$",""),",","")),_xlpm.base,_xlpm.rate*(_xlpm.coverage/1000),_xlpm.fee,_xlfn.XLOOKUP("TransAmerica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2" s="80">
        <f t="array" ref="AO32">IFERROR(_xlfn.LET(_xlpm.rate,INDEX(Corebridge!$B$2:$C$32,MATCH($AE32,Corebridge!$A$2:$A$32,0),IF(LOWER(TRIM($F32))="male",1,2)),_xlpm.coverage,VALUE(SUBSTITUTE(SUBSTITUTE($S32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2" s="80">
        <f t="array" ref="AP32">IFERROR(_xlfn.LET(_xlpm.rate,INDEX(amam!$B$2:$E$37,MATCH($AE32,amam!$A$2:$A$37,0),IF(LOWER(TRIM($F32))="male",IF(LOWER(TRIM($K32))="yes",2,1),IF(LOWER(TRIM($K32))="yes",4,3))),_xlpm.coverage,VALUE(SUBSTITUTE(SUBSTITUTE($S32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2" s="80">
        <f t="array" ref="AQ32">IFERROR(_xlfn.LET(_xlpm.rate,INDEX('amam-graded'!$B$2:$E$37,MATCH($AE32,'amam-graded'!$A$2:$A$37,0),IF(LOWER(TRIM($F32))="male",IF(LOWER(TRIM($K32))="yes",2,1),IF(LOWER(TRIM($K32))="yes",4,3))),_xlpm.coverage,VALUE(SUBSTITUTE(SUBSTITUTE($S32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2" s="80">
        <f t="array" ref="AR32">IFERROR(_xlfn.LET(_xlpm.rate,INDEX('amam-return-or-premium'!$B$2:$E$37,MATCH($AE32,'amam-return-or-premium'!$A$2:$A$37,0),IF(LOWER(TRIM($F32))="male",IF(LOWER(TRIM($K32))="yes",2,1),IF(LOWER(TRIM($K32))="yes",4,3))),_xlpm.coverage,VALUE(SUBSTITUTE(SUBSTITUTE($S32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2" s="80">
        <f t="array" ref="AS32">IFERROR(_xlfn.LET(_xlpm.rate,INDEX(AHL!$B$2:$E$37,MATCH($AE32,AHL!$A$2:$A$37,0),IF(LOWER(TRIM($F32))="male",IF(LOWER(TRIM($K32))="yes",2,1),IF(LOWER(TRIM($K32))="yes",4,3))),_xlpm.coverage,VALUE(SUBSTITUTE(SUBSTITUTE($S32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2" s="80">
        <f t="array" ref="AT32">IFERROR(_xlfn.LET(_xlpm.rate,INDEX('AHL-Graded'!$B$2:$E$32,MATCH($AE32,'AHL-Graded'!$A$2:$A$32,0),IF(LOWER(TRIM($F32))="male",IF(LOWER(TRIM($K32))="yes",2,1),IF(LOWER(TRIM($K32))="yes",4,3))),_xlpm.coverage,VALUE(SUBSTITUTE(SUBSTITUTE($S32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2" s="80">
        <f t="array" ref="AU32">IFERROR(_xlfn.LET(_xlpm.rate,INDEX('Royal Neighbors'!$B$2:$E$37,MATCH($AE32,'Royal Neighbors'!$A$2:$A$37,0),IF(LOWER(TRIM($F32))="male",IF(LOWER(TRIM($K32))="yes",2,1),IF(LOWER(TRIM($K32))="yes",4,3))),_xlpm.coverage,VALUE(SUBSTITUTE(SUBSTITUTE($S32,"$",""),",","")),_xlpm.base,_xlpm.rate*(_xlpm.coverage/1000),_xlpm.fee,_xlfn.XLOOKUP("Royal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2" s="80">
        <f t="array" ref="AV32">IFERROR(_xlfn.LET(_xlpm.rate,INDEX('Royal Neighbors-Graded'!$B$2:$E$37,MATCH($AE32,'Royal Neighbors-Graded'!$A$2:$A$37,0),IF(LOWER(TRIM($F32))="male",IF(LOWER(TRIM($K32))="yes",2,1),IF(LOWER(TRIM($K32))="yes",4,3))),_xlpm.coverage,VALUE(SUBSTITUTE(SUBSTITUTE($S32,"$",""),",","")),_xlpm.base,_xlpm.rate*(_xlpm.coverage/1000),_xlpm.fee,_xlfn.XLOOKUP("Royal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2" s="80">
        <f t="array" ref="AW32">IFERROR(_xlfn.LET(_xlpm.rate,INDEX('Gerber-GI'!$B$2:$C$32,MATCH($AE32,'Gerber-GI'!$A$2:$A$32,0),IF(LOWER(TRIM($F32))="male",1,2)),_xlpm.coverage,VALUE(SUBSTITUTE(SUBSTITUTE($S32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2" s="80">
        <f t="array" ref="AX32">IFERROR(_xlfn.LET(_xlpm.rate,INDEX('Mutual of Omaha'!$B$2:$E$42,MATCH($AE32,'Mutual of Omaha'!$A$2:$A$42,0),IF(LOWER(TRIM($F32))="male",IF(LOWER(TRIM($K32))="yes",2,1),IF(LOWER(TRIM($K32))="yes",4,3))),_xlpm.coverage,VALUE(SUBSTITUTE(SUBSTITUTE($S32,"$",""),",","")),_xlpm.base,_xlpm.rate*(_xlpm.coverage/1000),_xlpm.fee,_xlfn.XLOOKUP("Mutal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2" s="80">
        <f t="array" ref="AY32">IFERROR(_xlfn.LET(_xlpm.rate,INDEX('Mutual of Omaha-Graded'!$B$2:$E$37,MATCH($AE32,'Mutual of Omaha-Graded'!$A$2:$A$37,0),IF(LOWER(TRIM($F32))="male",IF(LOWER(TRIM($K32))="yes",2,1),IF(LOWER(TRIM($K32))="yes",4,3))),_xlpm.coverage,VALUE(SUBSTITUTE(SUBSTITUTE($S32,"$",""),",","")),_xlpm.base,_xlpm.rate*(_xlpm.coverage/1000),_xlpm.fee,_xlfn.XLOOKUP("Mutual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2" s="80">
        <f>AP32</f>
        <v/>
      </c>
      <c r="BA32" s="80">
        <f>IFERROR(IF(AND(AP32&gt;0,AP32&lt;VALUE(SUBSTITUTE(SUBSTITUTE($T32,"$",""),",",""))),VALUE(SUBSTITUTE(SUBSTITUTE($T32,"$",""),",",""))-AP32,""),"")</f>
        <v/>
      </c>
      <c r="BB32" s="80">
        <f>AL32</f>
        <v/>
      </c>
      <c r="BC32" s="80">
        <f>IFERROR(IF(AND(AL32&gt;0,AL32&lt;VALUE(SUBSTITUTE(SUBSTITUTE($T32,"$",""),",",""))),VALUE(SUBSTITUTE(SUBSTITUTE($T32,"$",""),",",""))-AL32,""),"")</f>
        <v/>
      </c>
      <c r="BD32">
        <f t="array" ref="BD32">IFERROR(_xlfn.LET(_xlpm.current,VALUE(SUBSTITUTE(SUBSTITUTE($T32,"$",""),",","")),_xlpm.quotes,AF32:AY32,_xlpm.lowest,_xlfn.MINIFS(_xlpm.quotes,_xlpm.quotes,"&lt;"&amp;_xlpm.current,_xlpm.quotes,"&gt;0"),IF(_xlpm.lowest="","",SUBSTITUTE(INDEX($AF$1:$AY$1,1,MATCH(_xlpm.lowest,_xlpm.quotes,0))," Monthly Quote",""))),"")</f>
        <v/>
      </c>
      <c r="BE32" s="80">
        <f t="array" ref="BE32">IFERROR(_xlfn.LET(_xlpm.current,VALUE(SUBSTITUTE(SUBSTITUTE($T32,"$",""),",","")),_xlpm.quotes,AF32:AY32,_xlpm.lowest,_xlfn.MINIFS(_xlpm.quotes,_xlpm.quotes,"&lt;"&amp;_xlpm.current,_xlpm.quotes,"&gt;0"),IF(_xlpm.lowest="","",_xlpm.current-_xlpm.lowest)),"")</f>
        <v/>
      </c>
    </row>
    <row r="33">
      <c r="A33" s="67" t="inlineStr">
        <is>
          <t>Toalea</t>
        </is>
      </c>
      <c r="B33" s="67" t="inlineStr">
        <is>
          <t>Makaafi</t>
        </is>
      </c>
      <c r="C33" s="68" t="n">
        <v>3104886743</v>
      </c>
      <c r="D33" s="68" t="n">
        <v>69</v>
      </c>
      <c r="E33" s="69" t="n">
        <v>20728</v>
      </c>
      <c r="F33" s="67" t="inlineStr">
        <is>
          <t>Female</t>
        </is>
      </c>
      <c r="G33" s="67" t="inlineStr">
        <is>
          <t>4648 Fannin Dr Simi Valley, CA 93063</t>
        </is>
      </c>
      <c r="H33" s="67" t="inlineStr">
        <is>
          <t>South Pacific Tonga</t>
        </is>
      </c>
      <c r="I33" s="68" t="n">
        <v>5.6</v>
      </c>
      <c r="J33" s="68" t="n">
        <v>124</v>
      </c>
      <c r="K33" s="67" t="inlineStr">
        <is>
          <t>No</t>
        </is>
      </c>
      <c r="L33" s="67" t="inlineStr">
        <is>
          <t>NA</t>
        </is>
      </c>
      <c r="M33" s="67" t="inlineStr">
        <is>
          <t>Burial</t>
        </is>
      </c>
      <c r="N33" s="67" t="inlineStr">
        <is>
          <t>Marie Philman</t>
        </is>
      </c>
      <c r="O33" s="67" t="inlineStr">
        <is>
          <t>Daughter</t>
        </is>
      </c>
      <c r="P33" s="67" t="inlineStr">
        <is>
          <t>NA</t>
        </is>
      </c>
      <c r="Q33" s="67" t="inlineStr">
        <is>
          <t>NA</t>
        </is>
      </c>
      <c r="R33" s="67" t="inlineStr">
        <is>
          <t>RNA</t>
        </is>
      </c>
      <c r="S33" s="70" t="n">
        <v>10000</v>
      </c>
      <c r="T33" s="68" t="n">
        <v>57.95</v>
      </c>
      <c r="U33" s="69" t="n">
        <v>46023</v>
      </c>
      <c r="V33" s="69" t="n">
        <v>46059</v>
      </c>
      <c r="W33" s="68" t="n">
        <v>575802736</v>
      </c>
      <c r="X33" s="67" t="inlineStr">
        <is>
          <t>NA</t>
        </is>
      </c>
      <c r="Y33" s="67" t="inlineStr">
        <is>
          <t>Chase Bank</t>
        </is>
      </c>
      <c r="Z33" s="68" t="n">
        <v>322271627</v>
      </c>
      <c r="AA33" s="68" t="n">
        <v>4214629747</v>
      </c>
      <c r="AB33" s="67" t="inlineStr">
        <is>
          <t>Diabetes</t>
        </is>
      </c>
      <c r="AC33" s="67" t="inlineStr">
        <is>
          <t>Metformin</t>
        </is>
      </c>
      <c r="AD33" s="67" t="inlineStr">
        <is>
          <t>Emelia Perez, MD</t>
        </is>
      </c>
      <c r="AE33" s="68" t="n">
        <v>69</v>
      </c>
      <c r="AF33" s="80">
        <f t="array" ref="AF33">IFERROR(_xlfn.LET(_xlpm.rate,INDEX(aflac!$B$2:$E$37,MATCH($AE33,aflac!$A$2:$A$37,0),IF(LOWER(TRIM($F33))="male",IF(LOWER(TRIM($K33))="yes",2,1),IF(LOWER(TRIM($K33))="yes",4,3))),_xlpm.coverage,VALUE(SUBSTITUTE(SUBSTITUTE($S33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3" s="80">
        <f t="array" ref="AG33">IFERROR(_xlfn.LET(_xlpm.rate,INDEX('aflac-modified'!$B$2:$C$32,MATCH($AE33,'aflac-modified'!$A$2:$A$32,0),IF(LOWER(TRIM($F33))="male",1,2)),_xlpm.coverage,VALUE(SUBSTITUTE(SUBSTITUTE($S33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3" s="80">
        <f t="array" ref="AH33">IFERROR(_xlfn.LET(_xlpm.rate,INDEX(SBLI!$B$2:$E$37,MATCH($AE33,SBLI!$A$2:$A$37,0),IF(LOWER(TRIM($F33))="male",IF(LOWER(TRIM($K33))="yes",2,1),IF(LOWER(TRIM($K33))="yes",4,3))),_xlpm.coverage,VALUE(SUBSTITUTE(SUBSTITUTE($S33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3" s="80">
        <f t="array" ref="AI33">IFERROR(_xlfn.LET(_xlpm.rate,INDEX('SBLI-Modified'!$B$2:$E$27,MATCH($AE33,'SBLI-Modified'!$A$2:$A$27,0),IF(LOWER(TRIM($F33))="male",IF(LOWER(TRIM($K33))="yes",2,1),IF(LOWER(TRIM($K33))="yes",4,3))),_xlpm.coverage,VALUE(SUBSTITUTE(SUBSTITUTE($S33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3" s="80">
        <f t="array" ref="AJ33">IFERROR(_xlfn.LET(_xlpm.rate,INDEX(CICA!$B$2:$C$42,MATCH($AE33,CICA!$A$2:$A$42,0),IF(LOWER(TRIM($F33))="male",1,2)),_xlpm.coverage,VALUE(SUBSTITUTE(SUBSTITUTE($S33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3" s="80">
        <f t="array" ref="AK33">IFERROR(_xlfn.LET(_xlpm.rate,INDEX('CICA-GI'!$B$2:$C$47,MATCH($AE33,'CICA-GI'!$A$2:$A$47,0),IF(LOWER(TRIM($F33))="male",1,2)),_xlpm.coverage,VALUE(SUBSTITUTE(SUBSTITUTE($S33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3" s="80">
        <f t="array" ref="AL33">IFERROR(_xlfn.LET(_xlpm.rate,INDEX(gtl!$B$2:$C$52,MATCH($AE33,gtl!$A$2:$A$52,0),IF(LOWER(TRIM($F33))="male",1,2)),_xlpm.coverage,VALUE(SUBSTITUTE(SUBSTITUTE($S33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3" s="80">
        <f t="array" ref="AM33">IFERROR(_xlfn.LET(_xlpm.rate,INDEX(TransAmerica!$B$2:$E$69,MATCH($AE33,TransAmerica!$A$2:$A$69,0),IF(LOWER(TRIM($F33))="male",IF(LOWER(TRIM($K33))="yes",2,1),IF(LOWER(TRIM($K33))="yes",4,3))),_xlpm.coverage,VALUE(SUBSTITUTE(SUBSTITUTE($S33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3" s="80">
        <f t="array" ref="AN33">IFERROR(_xlfn.LET(_xlpm.rate,INDEX('TransAmerica Graded'!$B$2:$E$64,MATCH($AE33,'TransAmerica Graded'!$A$2:$A$64,0),IF(LOWER(TRIM($F33))="male",IF(LOWER(TRIM($K33))="yes",2,1),IF(LOWER(TRIM($K33))="yes",4,3))),_xlpm.coverage,VALUE(SUBSTITUTE(SUBSTITUTE($S33,"$",""),",","")),_xlpm.base,_xlpm.rate*(_xlpm.coverage/1000),_xlpm.fee,_xlfn.XLOOKUP("TransAmerica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3" s="80">
        <f t="array" ref="AO33">IFERROR(_xlfn.LET(_xlpm.rate,INDEX(Corebridge!$B$2:$C$32,MATCH($AE33,Corebridge!$A$2:$A$32,0),IF(LOWER(TRIM($F33))="male",1,2)),_xlpm.coverage,VALUE(SUBSTITUTE(SUBSTITUTE($S33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3" s="80">
        <f t="array" ref="AP33">IFERROR(_xlfn.LET(_xlpm.rate,INDEX(amam!$B$2:$E$37,MATCH($AE33,amam!$A$2:$A$37,0),IF(LOWER(TRIM($F33))="male",IF(LOWER(TRIM($K33))="yes",2,1),IF(LOWER(TRIM($K33))="yes",4,3))),_xlpm.coverage,VALUE(SUBSTITUTE(SUBSTITUTE($S33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3" s="80">
        <f t="array" ref="AQ33">IFERROR(_xlfn.LET(_xlpm.rate,INDEX('amam-graded'!$B$2:$E$37,MATCH($AE33,'amam-graded'!$A$2:$A$37,0),IF(LOWER(TRIM($F33))="male",IF(LOWER(TRIM($K33))="yes",2,1),IF(LOWER(TRIM($K33))="yes",4,3))),_xlpm.coverage,VALUE(SUBSTITUTE(SUBSTITUTE($S33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3" s="80">
        <f t="array" ref="AR33">IFERROR(_xlfn.LET(_xlpm.rate,INDEX('amam-return-or-premium'!$B$2:$E$37,MATCH($AE33,'amam-return-or-premium'!$A$2:$A$37,0),IF(LOWER(TRIM($F33))="male",IF(LOWER(TRIM($K33))="yes",2,1),IF(LOWER(TRIM($K33))="yes",4,3))),_xlpm.coverage,VALUE(SUBSTITUTE(SUBSTITUTE($S33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3" s="80">
        <f t="array" ref="AS33">IFERROR(_xlfn.LET(_xlpm.rate,INDEX(AHL!$B$2:$E$37,MATCH($AE33,AHL!$A$2:$A$37,0),IF(LOWER(TRIM($F33))="male",IF(LOWER(TRIM($K33))="yes",2,1),IF(LOWER(TRIM($K33))="yes",4,3))),_xlpm.coverage,VALUE(SUBSTITUTE(SUBSTITUTE($S33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3" s="80">
        <f t="array" ref="AT33">IFERROR(_xlfn.LET(_xlpm.rate,INDEX('AHL-Graded'!$B$2:$E$32,MATCH($AE33,'AHL-Graded'!$A$2:$A$32,0),IF(LOWER(TRIM($F33))="male",IF(LOWER(TRIM($K33))="yes",2,1),IF(LOWER(TRIM($K33))="yes",4,3))),_xlpm.coverage,VALUE(SUBSTITUTE(SUBSTITUTE($S33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3" s="80">
        <f t="array" ref="AU33">IFERROR(_xlfn.LET(_xlpm.rate,INDEX('Royal Neighbors'!$B$2:$E$37,MATCH($AE33,'Royal Neighbors'!$A$2:$A$37,0),IF(LOWER(TRIM($F33))="male",IF(LOWER(TRIM($K33))="yes",2,1),IF(LOWER(TRIM($K33))="yes",4,3))),_xlpm.coverage,VALUE(SUBSTITUTE(SUBSTITUTE($S33,"$",""),",","")),_xlpm.base,_xlpm.rate*(_xlpm.coverage/1000),_xlpm.fee,_xlfn.XLOOKUP("Royal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3" s="80">
        <f t="array" ref="AV33">IFERROR(_xlfn.LET(_xlpm.rate,INDEX('Royal Neighbors-Graded'!$B$2:$E$37,MATCH($AE33,'Royal Neighbors-Graded'!$A$2:$A$37,0),IF(LOWER(TRIM($F33))="male",IF(LOWER(TRIM($K33))="yes",2,1),IF(LOWER(TRIM($K33))="yes",4,3))),_xlpm.coverage,VALUE(SUBSTITUTE(SUBSTITUTE($S33,"$",""),",","")),_xlpm.base,_xlpm.rate*(_xlpm.coverage/1000),_xlpm.fee,_xlfn.XLOOKUP("Royal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3" s="80">
        <f t="array" ref="AW33">IFERROR(_xlfn.LET(_xlpm.rate,INDEX('Gerber-GI'!$B$2:$C$32,MATCH($AE33,'Gerber-GI'!$A$2:$A$32,0),IF(LOWER(TRIM($F33))="male",1,2)),_xlpm.coverage,VALUE(SUBSTITUTE(SUBSTITUTE($S33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3" s="80">
        <f t="array" ref="AX33">IFERROR(_xlfn.LET(_xlpm.rate,INDEX('Mutual of Omaha'!$B$2:$E$42,MATCH($AE33,'Mutual of Omaha'!$A$2:$A$42,0),IF(LOWER(TRIM($F33))="male",IF(LOWER(TRIM($K33))="yes",2,1),IF(LOWER(TRIM($K33))="yes",4,3))),_xlpm.coverage,VALUE(SUBSTITUTE(SUBSTITUTE($S33,"$",""),",","")),_xlpm.base,_xlpm.rate*(_xlpm.coverage/1000),_xlpm.fee,_xlfn.XLOOKUP("Mutal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3" s="80">
        <f t="array" ref="AY33">IFERROR(_xlfn.LET(_xlpm.rate,INDEX('Mutual of Omaha-Graded'!$B$2:$E$37,MATCH($AE33,'Mutual of Omaha-Graded'!$A$2:$A$37,0),IF(LOWER(TRIM($F33))="male",IF(LOWER(TRIM($K33))="yes",2,1),IF(LOWER(TRIM($K33))="yes",4,3))),_xlpm.coverage,VALUE(SUBSTITUTE(SUBSTITUTE($S33,"$",""),",","")),_xlpm.base,_xlpm.rate*(_xlpm.coverage/1000),_xlpm.fee,_xlfn.XLOOKUP("Mutual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3" s="80">
        <f>AP33</f>
        <v/>
      </c>
      <c r="BA33" s="80">
        <f>IFERROR(IF(AND(AP33&gt;0,AP33&lt;VALUE(SUBSTITUTE(SUBSTITUTE($T33,"$",""),",",""))),VALUE(SUBSTITUTE(SUBSTITUTE($T33,"$",""),",",""))-AP33,""),"")</f>
        <v/>
      </c>
      <c r="BB33" s="80">
        <f>AL33</f>
        <v/>
      </c>
      <c r="BC33" s="80">
        <f>IFERROR(IF(AND(AL33&gt;0,AL33&lt;VALUE(SUBSTITUTE(SUBSTITUTE($T33,"$",""),",",""))),VALUE(SUBSTITUTE(SUBSTITUTE($T33,"$",""),",",""))-AL33,""),"")</f>
        <v/>
      </c>
      <c r="BD33">
        <f t="array" ref="BD33">IFERROR(_xlfn.LET(_xlpm.current,VALUE(SUBSTITUTE(SUBSTITUTE($T33,"$",""),",","")),_xlpm.quotes,AF33:AY33,_xlpm.lowest,_xlfn.MINIFS(_xlpm.quotes,_xlpm.quotes,"&lt;"&amp;_xlpm.current,_xlpm.quotes,"&gt;0"),IF(_xlpm.lowest="","",SUBSTITUTE(INDEX($AF$1:$AY$1,1,MATCH(_xlpm.lowest,_xlpm.quotes,0))," Monthly Quote",""))),"")</f>
        <v/>
      </c>
      <c r="BE33" s="80">
        <f t="array" ref="BE33">IFERROR(_xlfn.LET(_xlpm.current,VALUE(SUBSTITUTE(SUBSTITUTE($T33,"$",""),",","")),_xlpm.quotes,AF33:AY33,_xlpm.lowest,_xlfn.MINIFS(_xlpm.quotes,_xlpm.quotes,"&lt;"&amp;_xlpm.current,_xlpm.quotes,"&gt;0"),IF(_xlpm.lowest="","",_xlpm.current-_xlpm.lowest)),"")</f>
        <v/>
      </c>
    </row>
    <row r="34">
      <c r="A34" s="67" t="inlineStr">
        <is>
          <t>Lorice V</t>
        </is>
      </c>
      <c r="B34" s="67" t="inlineStr">
        <is>
          <t>Bernard</t>
        </is>
      </c>
      <c r="C34" s="68" t="n">
        <v>4079133753</v>
      </c>
      <c r="D34" s="68" t="n">
        <v>74</v>
      </c>
      <c r="E34" s="69" t="n">
        <v>18959</v>
      </c>
      <c r="F34" s="67" t="inlineStr">
        <is>
          <t>female</t>
        </is>
      </c>
      <c r="G34" s="67" t="inlineStr">
        <is>
          <t>3117 Fairfield Dr Kissimmee FL 34743</t>
        </is>
      </c>
      <c r="H34" s="67" t="inlineStr">
        <is>
          <t>Jamaica</t>
        </is>
      </c>
      <c r="I34" s="67" t="inlineStr">
        <is>
          <t>5,8</t>
        </is>
      </c>
      <c r="J34" s="68" t="n">
        <v>200</v>
      </c>
      <c r="K34" s="67" t="inlineStr">
        <is>
          <t>No</t>
        </is>
      </c>
      <c r="L34" s="67" t="n"/>
      <c r="M34" s="67" t="inlineStr">
        <is>
          <t>Cremation</t>
        </is>
      </c>
      <c r="N34" s="67" t="inlineStr">
        <is>
          <t>(Norman Robertson - 62)</t>
        </is>
      </c>
      <c r="O34" s="67" t="inlineStr">
        <is>
          <t>Brother</t>
        </is>
      </c>
      <c r="P34" s="67" t="n"/>
      <c r="Q34" s="67" t="n"/>
      <c r="R34" s="67" t="inlineStr">
        <is>
          <t>RNA</t>
        </is>
      </c>
      <c r="S34" s="70" t="n">
        <v>5000</v>
      </c>
      <c r="T34" s="71" t="n">
        <v>41</v>
      </c>
      <c r="U34" s="69" t="n">
        <v>18977</v>
      </c>
      <c r="V34" s="69" t="n">
        <v>46037</v>
      </c>
      <c r="W34" s="68" t="n">
        <v>580239667</v>
      </c>
      <c r="X34" s="67" t="inlineStr">
        <is>
          <t>no</t>
        </is>
      </c>
      <c r="Y34" s="67" t="inlineStr">
        <is>
          <t>JPMORGAN CHASE</t>
        </is>
      </c>
      <c r="Z34" s="68" t="n">
        <v>267084131</v>
      </c>
      <c r="AA34" s="68" t="n">
        <v>1952793404</v>
      </c>
      <c r="AB34" s="67" t="inlineStr">
        <is>
          <t>Diabetes(No Complications) , Pain</t>
        </is>
      </c>
      <c r="AC34" s="67" t="inlineStr">
        <is>
          <t>Metformin,Gabapentin</t>
        </is>
      </c>
      <c r="AD34" s="67" t="inlineStr">
        <is>
          <t>no</t>
        </is>
      </c>
      <c r="AE34" s="68" t="n">
        <v>74</v>
      </c>
      <c r="AF34" s="80">
        <f t="array" ref="AF34">IFERROR(_xlfn.LET(_xlpm.rate,INDEX(aflac!$B$2:$E$37,MATCH($AE34,aflac!$A$2:$A$37,0),IF(LOWER(TRIM($F34))="male",IF(LOWER(TRIM($K34))="yes",2,1),IF(LOWER(TRIM($K34))="yes",4,3))),_xlpm.coverage,VALUE(SUBSTITUTE(SUBSTITUTE($S34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4" s="80">
        <f t="array" ref="AG34">IFERROR(_xlfn.LET(_xlpm.rate,INDEX('aflac-modified'!$B$2:$C$32,MATCH($AE34,'aflac-modified'!$A$2:$A$32,0),IF(LOWER(TRIM($F34))="male",1,2)),_xlpm.coverage,VALUE(SUBSTITUTE(SUBSTITUTE($S34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4" s="80">
        <f t="array" ref="AH34">IFERROR(_xlfn.LET(_xlpm.rate,INDEX(SBLI!$B$2:$E$37,MATCH($AE34,SBLI!$A$2:$A$37,0),IF(LOWER(TRIM($F34))="male",IF(LOWER(TRIM($K34))="yes",2,1),IF(LOWER(TRIM($K34))="yes",4,3))),_xlpm.coverage,VALUE(SUBSTITUTE(SUBSTITUTE($S34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4" s="80">
        <f t="array" ref="AI34">IFERROR(_xlfn.LET(_xlpm.rate,INDEX('SBLI-Modified'!$B$2:$E$27,MATCH($AE34,'SBLI-Modified'!$A$2:$A$27,0),IF(LOWER(TRIM($F34))="male",IF(LOWER(TRIM($K34))="yes",2,1),IF(LOWER(TRIM($K34))="yes",4,3))),_xlpm.coverage,VALUE(SUBSTITUTE(SUBSTITUTE($S34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4" s="80">
        <f t="array" ref="AJ34">IFERROR(_xlfn.LET(_xlpm.rate,INDEX(CICA!$B$2:$C$42,MATCH($AE34,CICA!$A$2:$A$42,0),IF(LOWER(TRIM($F34))="male",1,2)),_xlpm.coverage,VALUE(SUBSTITUTE(SUBSTITUTE($S34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4" s="80">
        <f t="array" ref="AK34">IFERROR(_xlfn.LET(_xlpm.rate,INDEX('CICA-GI'!$B$2:$C$47,MATCH($AE34,'CICA-GI'!$A$2:$A$47,0),IF(LOWER(TRIM($F34))="male",1,2)),_xlpm.coverage,VALUE(SUBSTITUTE(SUBSTITUTE($S34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4" s="80">
        <f t="array" ref="AL34">IFERROR(_xlfn.LET(_xlpm.rate,INDEX(gtl!$B$2:$C$52,MATCH($AE34,gtl!$A$2:$A$52,0),IF(LOWER(TRIM($F34))="male",1,2)),_xlpm.coverage,VALUE(SUBSTITUTE(SUBSTITUTE($S34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4" s="80">
        <f t="array" ref="AM34">IFERROR(_xlfn.LET(_xlpm.rate,INDEX(TransAmerica!$B$2:$E$69,MATCH($AE34,TransAmerica!$A$2:$A$69,0),IF(LOWER(TRIM($F34))="male",IF(LOWER(TRIM($K34))="yes",2,1),IF(LOWER(TRIM($K34))="yes",4,3))),_xlpm.coverage,VALUE(SUBSTITUTE(SUBSTITUTE($S34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4" s="80">
        <f t="array" ref="AN34">IFERROR(_xlfn.LET(_xlpm.rate,INDEX('TransAmerica Graded'!$B$2:$E$64,MATCH($AE34,'TransAmerica Graded'!$A$2:$A$64,0),IF(LOWER(TRIM($F34))="male",IF(LOWER(TRIM($K34))="yes",2,1),IF(LOWER(TRIM($K34))="yes",4,3))),_xlpm.coverage,VALUE(SUBSTITUTE(SUBSTITUTE($S34,"$",""),",","")),_xlpm.base,_xlpm.rate*(_xlpm.coverage/1000),_xlpm.fee,_xlfn.XLOOKUP("TransAmerica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4" s="80">
        <f t="array" ref="AO34">IFERROR(_xlfn.LET(_xlpm.rate,INDEX(Corebridge!$B$2:$C$32,MATCH($AE34,Corebridge!$A$2:$A$32,0),IF(LOWER(TRIM($F34))="male",1,2)),_xlpm.coverage,VALUE(SUBSTITUTE(SUBSTITUTE($S34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4" s="80">
        <f t="array" ref="AP34">IFERROR(_xlfn.LET(_xlpm.rate,INDEX(amam!$B$2:$E$37,MATCH($AE34,amam!$A$2:$A$37,0),IF(LOWER(TRIM($F34))="male",IF(LOWER(TRIM($K34))="yes",2,1),IF(LOWER(TRIM($K34))="yes",4,3))),_xlpm.coverage,VALUE(SUBSTITUTE(SUBSTITUTE($S34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4" s="80">
        <f t="array" ref="AQ34">IFERROR(_xlfn.LET(_xlpm.rate,INDEX('amam-graded'!$B$2:$E$37,MATCH($AE34,'amam-graded'!$A$2:$A$37,0),IF(LOWER(TRIM($F34))="male",IF(LOWER(TRIM($K34))="yes",2,1),IF(LOWER(TRIM($K34))="yes",4,3))),_xlpm.coverage,VALUE(SUBSTITUTE(SUBSTITUTE($S34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4" s="80">
        <f t="array" ref="AR34">IFERROR(_xlfn.LET(_xlpm.rate,INDEX('amam-return-or-premium'!$B$2:$E$37,MATCH($AE34,'amam-return-or-premium'!$A$2:$A$37,0),IF(LOWER(TRIM($F34))="male",IF(LOWER(TRIM($K34))="yes",2,1),IF(LOWER(TRIM($K34))="yes",4,3))),_xlpm.coverage,VALUE(SUBSTITUTE(SUBSTITUTE($S34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4" s="80">
        <f t="array" ref="AS34">IFERROR(_xlfn.LET(_xlpm.rate,INDEX(AHL!$B$2:$E$37,MATCH($AE34,AHL!$A$2:$A$37,0),IF(LOWER(TRIM($F34))="male",IF(LOWER(TRIM($K34))="yes",2,1),IF(LOWER(TRIM($K34))="yes",4,3))),_xlpm.coverage,VALUE(SUBSTITUTE(SUBSTITUTE($S34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4" s="80">
        <f t="array" ref="AT34">IFERROR(_xlfn.LET(_xlpm.rate,INDEX('AHL-Graded'!$B$2:$E$32,MATCH($AE34,'AHL-Graded'!$A$2:$A$32,0),IF(LOWER(TRIM($F34))="male",IF(LOWER(TRIM($K34))="yes",2,1),IF(LOWER(TRIM($K34))="yes",4,3))),_xlpm.coverage,VALUE(SUBSTITUTE(SUBSTITUTE($S34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4" s="80">
        <f t="array" ref="AU34">IFERROR(_xlfn.LET(_xlpm.rate,INDEX('Royal Neighbors'!$B$2:$E$37,MATCH($AE34,'Royal Neighbors'!$A$2:$A$37,0),IF(LOWER(TRIM($F34))="male",IF(LOWER(TRIM($K34))="yes",2,1),IF(LOWER(TRIM($K34))="yes",4,3))),_xlpm.coverage,VALUE(SUBSTITUTE(SUBSTITUTE($S34,"$",""),",","")),_xlpm.base,_xlpm.rate*(_xlpm.coverage/1000),_xlpm.fee,_xlfn.XLOOKUP("Royal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4" s="80">
        <f t="array" ref="AV34">IFERROR(_xlfn.LET(_xlpm.rate,INDEX('Royal Neighbors-Graded'!$B$2:$E$37,MATCH($AE34,'Royal Neighbors-Graded'!$A$2:$A$37,0),IF(LOWER(TRIM($F34))="male",IF(LOWER(TRIM($K34))="yes",2,1),IF(LOWER(TRIM($K34))="yes",4,3))),_xlpm.coverage,VALUE(SUBSTITUTE(SUBSTITUTE($S34,"$",""),",","")),_xlpm.base,_xlpm.rate*(_xlpm.coverage/1000),_xlpm.fee,_xlfn.XLOOKUP("Royal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4" s="80">
        <f t="array" ref="AW34">IFERROR(_xlfn.LET(_xlpm.rate,INDEX('Gerber-GI'!$B$2:$C$32,MATCH($AE34,'Gerber-GI'!$A$2:$A$32,0),IF(LOWER(TRIM($F34))="male",1,2)),_xlpm.coverage,VALUE(SUBSTITUTE(SUBSTITUTE($S34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4" s="80">
        <f t="array" ref="AX34">IFERROR(_xlfn.LET(_xlpm.rate,INDEX('Mutual of Omaha'!$B$2:$E$42,MATCH($AE34,'Mutual of Omaha'!$A$2:$A$42,0),IF(LOWER(TRIM($F34))="male",IF(LOWER(TRIM($K34))="yes",2,1),IF(LOWER(TRIM($K34))="yes",4,3))),_xlpm.coverage,VALUE(SUBSTITUTE(SUBSTITUTE($S34,"$",""),",","")),_xlpm.base,_xlpm.rate*(_xlpm.coverage/1000),_xlpm.fee,_xlfn.XLOOKUP("Mutal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4" s="80">
        <f t="array" ref="AY34">IFERROR(_xlfn.LET(_xlpm.rate,INDEX('Mutual of Omaha-Graded'!$B$2:$E$37,MATCH($AE34,'Mutual of Omaha-Graded'!$A$2:$A$37,0),IF(LOWER(TRIM($F34))="male",IF(LOWER(TRIM($K34))="yes",2,1),IF(LOWER(TRIM($K34))="yes",4,3))),_xlpm.coverage,VALUE(SUBSTITUTE(SUBSTITUTE($S34,"$",""),",","")),_xlpm.base,_xlpm.rate*(_xlpm.coverage/1000),_xlpm.fee,_xlfn.XLOOKUP("Mutual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4" s="80">
        <f>AP34</f>
        <v/>
      </c>
      <c r="BA34" s="80">
        <f>IFERROR(IF(AND(AP34&gt;0,AP34&lt;VALUE(SUBSTITUTE(SUBSTITUTE($T34,"$",""),",",""))),VALUE(SUBSTITUTE(SUBSTITUTE($T34,"$",""),",",""))-AP34,""),"")</f>
        <v/>
      </c>
      <c r="BB34" s="80">
        <f>AL34</f>
        <v/>
      </c>
      <c r="BC34" s="80">
        <f>IFERROR(IF(AND(AL34&gt;0,AL34&lt;VALUE(SUBSTITUTE(SUBSTITUTE($T34,"$",""),",",""))),VALUE(SUBSTITUTE(SUBSTITUTE($T34,"$",""),",",""))-AL34,""),"")</f>
        <v/>
      </c>
      <c r="BD34">
        <f t="array" ref="BD34">IFERROR(_xlfn.LET(_xlpm.current,VALUE(SUBSTITUTE(SUBSTITUTE($T34,"$",""),",","")),_xlpm.quotes,AF34:AY34,_xlpm.lowest,_xlfn.MINIFS(_xlpm.quotes,_xlpm.quotes,"&lt;"&amp;_xlpm.current,_xlpm.quotes,"&gt;0"),IF(_xlpm.lowest="","",SUBSTITUTE(INDEX($AF$1:$AY$1,1,MATCH(_xlpm.lowest,_xlpm.quotes,0))," Monthly Quote",""))),"")</f>
        <v/>
      </c>
      <c r="BE34" s="80">
        <f t="array" ref="BE34">IFERROR(_xlfn.LET(_xlpm.current,VALUE(SUBSTITUTE(SUBSTITUTE($T34,"$",""),",","")),_xlpm.quotes,AF34:AY34,_xlpm.lowest,_xlfn.MINIFS(_xlpm.quotes,_xlpm.quotes,"&lt;"&amp;_xlpm.current,_xlpm.quotes,"&gt;0"),IF(_xlpm.lowest="","",_xlpm.current-_xlpm.lowest)),"")</f>
        <v/>
      </c>
    </row>
    <row r="35">
      <c r="A35" s="67" t="inlineStr">
        <is>
          <t>Shirley Elizabeth</t>
        </is>
      </c>
      <c r="B35" s="67" t="inlineStr">
        <is>
          <t>Stewart</t>
        </is>
      </c>
      <c r="C35" s="68" t="n">
        <v>6095067930</v>
      </c>
      <c r="D35" s="68" t="n">
        <v>81</v>
      </c>
      <c r="E35" s="69" t="n">
        <v>16223</v>
      </c>
      <c r="F35" s="67" t="inlineStr">
        <is>
          <t>Female</t>
        </is>
      </c>
      <c r="G35" s="67" t="inlineStr">
        <is>
          <t>4601 Sharon Terrace Pennsauken Township, NJ 08110</t>
        </is>
      </c>
      <c r="H35" s="67" t="inlineStr">
        <is>
          <t>PA</t>
        </is>
      </c>
      <c r="I35" s="68" t="n">
        <v>5.5</v>
      </c>
      <c r="J35" s="68" t="n">
        <v>120</v>
      </c>
      <c r="K35" s="67" t="inlineStr">
        <is>
          <t>No</t>
        </is>
      </c>
      <c r="L35" s="67" t="n"/>
      <c r="M35" s="67" t="inlineStr">
        <is>
          <t>Cremaiton</t>
        </is>
      </c>
      <c r="N35" s="67" t="inlineStr">
        <is>
          <t>(Kevin Stewart - 12 01 1959)</t>
        </is>
      </c>
      <c r="O35" s="67" t="inlineStr">
        <is>
          <t>Son</t>
        </is>
      </c>
      <c r="P35" s="67" t="n"/>
      <c r="Q35" s="67" t="n"/>
      <c r="R35" s="67" t="inlineStr">
        <is>
          <t>MOo</t>
        </is>
      </c>
      <c r="S35" s="70" t="n">
        <v>5000</v>
      </c>
      <c r="T35" s="71" t="n">
        <v>54.71</v>
      </c>
      <c r="U35" s="69" t="n">
        <v>45992</v>
      </c>
      <c r="V35" s="69" t="n">
        <v>46023</v>
      </c>
      <c r="W35" s="68" t="n">
        <v>142347492</v>
      </c>
      <c r="X35" s="67" t="inlineStr">
        <is>
          <t>No</t>
        </is>
      </c>
      <c r="Y35" s="67" t="inlineStr">
        <is>
          <t>First Harvest Federal Credit Union</t>
        </is>
      </c>
      <c r="Z35" s="68" t="n">
        <v>236077755</v>
      </c>
      <c r="AA35" s="68" t="n">
        <v>41277100904</v>
      </c>
      <c r="AB35" s="67" t="inlineStr">
        <is>
          <t>No</t>
        </is>
      </c>
      <c r="AC35" s="67" t="inlineStr">
        <is>
          <t>No</t>
        </is>
      </c>
      <c r="AD35" s="67" t="inlineStr">
        <is>
          <t>No</t>
        </is>
      </c>
      <c r="AE35" s="68" t="n">
        <v>82</v>
      </c>
      <c r="AF35" s="80">
        <f t="array" ref="AF35">IFERROR(_xlfn.LET(_xlpm.rate,INDEX(aflac!$B$2:$E$37,MATCH($AE35,aflac!$A$2:$A$37,0),IF(LOWER(TRIM($F35))="male",IF(LOWER(TRIM($K35))="yes",2,1),IF(LOWER(TRIM($K35))="yes",4,3))),_xlpm.coverage,VALUE(SUBSTITUTE(SUBSTITUTE($S35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5" s="80">
        <f t="array" ref="AG35">IFERROR(_xlfn.LET(_xlpm.rate,INDEX('aflac-modified'!$B$2:$C$32,MATCH($AE35,'aflac-modified'!$A$2:$A$32,0),IF(LOWER(TRIM($F35))="male",1,2)),_xlpm.coverage,VALUE(SUBSTITUTE(SUBSTITUTE($S35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5" s="80">
        <f t="array" ref="AH35">IFERROR(_xlfn.LET(_xlpm.rate,INDEX(SBLI!$B$2:$E$37,MATCH($AE35,SBLI!$A$2:$A$37,0),IF(LOWER(TRIM($F35))="male",IF(LOWER(TRIM($K35))="yes",2,1),IF(LOWER(TRIM($K35))="yes",4,3))),_xlpm.coverage,VALUE(SUBSTITUTE(SUBSTITUTE($S35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5" s="80">
        <f t="array" ref="AI35">IFERROR(_xlfn.LET(_xlpm.rate,INDEX('SBLI-Modified'!$B$2:$E$27,MATCH($AE35,'SBLI-Modified'!$A$2:$A$27,0),IF(LOWER(TRIM($F35))="male",IF(LOWER(TRIM($K35))="yes",2,1),IF(LOWER(TRIM($K35))="yes",4,3))),_xlpm.coverage,VALUE(SUBSTITUTE(SUBSTITUTE($S35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5" s="80">
        <f t="array" ref="AJ35">IFERROR(_xlfn.LET(_xlpm.rate,INDEX(CICA!$B$2:$C$42,MATCH($AE35,CICA!$A$2:$A$42,0),IF(LOWER(TRIM($F35))="male",1,2)),_xlpm.coverage,VALUE(SUBSTITUTE(SUBSTITUTE($S35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5" s="80">
        <f t="array" ref="AK35">IFERROR(_xlfn.LET(_xlpm.rate,INDEX('CICA-GI'!$B$2:$C$47,MATCH($AE35,'CICA-GI'!$A$2:$A$47,0),IF(LOWER(TRIM($F35))="male",1,2)),_xlpm.coverage,VALUE(SUBSTITUTE(SUBSTITUTE($S35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5" s="80">
        <f t="array" ref="AL35">IFERROR(_xlfn.LET(_xlpm.rate,INDEX(gtl!$B$2:$C$52,MATCH($AE35,gtl!$A$2:$A$52,0),IF(LOWER(TRIM($F35))="male",1,2)),_xlpm.coverage,VALUE(SUBSTITUTE(SUBSTITUTE($S35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5" s="80">
        <f t="array" ref="AM35">IFERROR(_xlfn.LET(_xlpm.rate,INDEX(TransAmerica!$B$2:$E$69,MATCH($AE35,TransAmerica!$A$2:$A$69,0),IF(LOWER(TRIM($F35))="male",IF(LOWER(TRIM($K35))="yes",2,1),IF(LOWER(TRIM($K35))="yes",4,3))),_xlpm.coverage,VALUE(SUBSTITUTE(SUBSTITUTE($S35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5" s="80">
        <f t="array" ref="AN35">IFERROR(_xlfn.LET(_xlpm.rate,INDEX('TransAmerica Graded'!$B$2:$E$64,MATCH($AE35,'TransAmerica Graded'!$A$2:$A$64,0),IF(LOWER(TRIM($F35))="male",IF(LOWER(TRIM($K35))="yes",2,1),IF(LOWER(TRIM($K35))="yes",4,3))),_xlpm.coverage,VALUE(SUBSTITUTE(SUBSTITUTE($S35,"$",""),",","")),_xlpm.base,_xlpm.rate*(_xlpm.coverage/1000),_xlpm.fee,_xlfn.XLOOKUP("TransAmerica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5" s="80">
        <f t="array" ref="AO35">IFERROR(_xlfn.LET(_xlpm.rate,INDEX(Corebridge!$B$2:$C$32,MATCH($AE35,Corebridge!$A$2:$A$32,0),IF(LOWER(TRIM($F35))="male",1,2)),_xlpm.coverage,VALUE(SUBSTITUTE(SUBSTITUTE($S35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5" s="80">
        <f t="array" ref="AP35">IFERROR(_xlfn.LET(_xlpm.rate,INDEX(amam!$B$2:$E$37,MATCH($AE35,amam!$A$2:$A$37,0),IF(LOWER(TRIM($F35))="male",IF(LOWER(TRIM($K35))="yes",2,1),IF(LOWER(TRIM($K35))="yes",4,3))),_xlpm.coverage,VALUE(SUBSTITUTE(SUBSTITUTE($S35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5" s="80">
        <f t="array" ref="AQ35">IFERROR(_xlfn.LET(_xlpm.rate,INDEX('amam-graded'!$B$2:$E$37,MATCH($AE35,'amam-graded'!$A$2:$A$37,0),IF(LOWER(TRIM($F35))="male",IF(LOWER(TRIM($K35))="yes",2,1),IF(LOWER(TRIM($K35))="yes",4,3))),_xlpm.coverage,VALUE(SUBSTITUTE(SUBSTITUTE($S35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5" s="80">
        <f t="array" ref="AR35">IFERROR(_xlfn.LET(_xlpm.rate,INDEX('amam-return-or-premium'!$B$2:$E$37,MATCH($AE35,'amam-return-or-premium'!$A$2:$A$37,0),IF(LOWER(TRIM($F35))="male",IF(LOWER(TRIM($K35))="yes",2,1),IF(LOWER(TRIM($K35))="yes",4,3))),_xlpm.coverage,VALUE(SUBSTITUTE(SUBSTITUTE($S35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5" s="80">
        <f t="array" ref="AS35">IFERROR(_xlfn.LET(_xlpm.rate,INDEX(AHL!$B$2:$E$37,MATCH($AE35,AHL!$A$2:$A$37,0),IF(LOWER(TRIM($F35))="male",IF(LOWER(TRIM($K35))="yes",2,1),IF(LOWER(TRIM($K35))="yes",4,3))),_xlpm.coverage,VALUE(SUBSTITUTE(SUBSTITUTE($S35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5" s="80">
        <f t="array" ref="AT35">IFERROR(_xlfn.LET(_xlpm.rate,INDEX('AHL-Graded'!$B$2:$E$32,MATCH($AE35,'AHL-Graded'!$A$2:$A$32,0),IF(LOWER(TRIM($F35))="male",IF(LOWER(TRIM($K35))="yes",2,1),IF(LOWER(TRIM($K35))="yes",4,3))),_xlpm.coverage,VALUE(SUBSTITUTE(SUBSTITUTE($S35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5" s="80">
        <f t="array" ref="AU35">IFERROR(_xlfn.LET(_xlpm.rate,INDEX('Royal Neighbors'!$B$2:$E$37,MATCH($AE35,'Royal Neighbors'!$A$2:$A$37,0),IF(LOWER(TRIM($F35))="male",IF(LOWER(TRIM($K35))="yes",2,1),IF(LOWER(TRIM($K35))="yes",4,3))),_xlpm.coverage,VALUE(SUBSTITUTE(SUBSTITUTE($S35,"$",""),",","")),_xlpm.base,_xlpm.rate*(_xlpm.coverage/1000),_xlpm.fee,_xlfn.XLOOKUP("Royal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5" s="80">
        <f t="array" ref="AV35">IFERROR(_xlfn.LET(_xlpm.rate,INDEX('Royal Neighbors-Graded'!$B$2:$E$37,MATCH($AE35,'Royal Neighbors-Graded'!$A$2:$A$37,0),IF(LOWER(TRIM($F35))="male",IF(LOWER(TRIM($K35))="yes",2,1),IF(LOWER(TRIM($K35))="yes",4,3))),_xlpm.coverage,VALUE(SUBSTITUTE(SUBSTITUTE($S35,"$",""),",","")),_xlpm.base,_xlpm.rate*(_xlpm.coverage/1000),_xlpm.fee,_xlfn.XLOOKUP("Royal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5" s="80">
        <f t="array" ref="AW35">IFERROR(_xlfn.LET(_xlpm.rate,INDEX('Gerber-GI'!$B$2:$C$32,MATCH($AE35,'Gerber-GI'!$A$2:$A$32,0),IF(LOWER(TRIM($F35))="male",1,2)),_xlpm.coverage,VALUE(SUBSTITUTE(SUBSTITUTE($S35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5" s="80">
        <f t="array" ref="AX35">IFERROR(_xlfn.LET(_xlpm.rate,INDEX('Mutual of Omaha'!$B$2:$E$42,MATCH($AE35,'Mutual of Omaha'!$A$2:$A$42,0),IF(LOWER(TRIM($F35))="male",IF(LOWER(TRIM($K35))="yes",2,1),IF(LOWER(TRIM($K35))="yes",4,3))),_xlpm.coverage,VALUE(SUBSTITUTE(SUBSTITUTE($S35,"$",""),",","")),_xlpm.base,_xlpm.rate*(_xlpm.coverage/1000),_xlpm.fee,_xlfn.XLOOKUP("Mutal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5" s="80">
        <f t="array" ref="AY35">IFERROR(_xlfn.LET(_xlpm.rate,INDEX('Mutual of Omaha-Graded'!$B$2:$E$37,MATCH($AE35,'Mutual of Omaha-Graded'!$A$2:$A$37,0),IF(LOWER(TRIM($F35))="male",IF(LOWER(TRIM($K35))="yes",2,1),IF(LOWER(TRIM($K35))="yes",4,3))),_xlpm.coverage,VALUE(SUBSTITUTE(SUBSTITUTE($S35,"$",""),",","")),_xlpm.base,_xlpm.rate*(_xlpm.coverage/1000),_xlpm.fee,_xlfn.XLOOKUP("Mutual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5" s="80">
        <f>AP35</f>
        <v/>
      </c>
      <c r="BA35" s="80">
        <f>IFERROR(IF(AND(AP35&gt;0,AP35&lt;VALUE(SUBSTITUTE(SUBSTITUTE($T35,"$",""),",",""))),VALUE(SUBSTITUTE(SUBSTITUTE($T35,"$",""),",",""))-AP35,""),"")</f>
        <v/>
      </c>
      <c r="BB35" s="80">
        <f>AL35</f>
        <v/>
      </c>
      <c r="BC35" s="80">
        <f>IFERROR(IF(AND(AL35&gt;0,AL35&lt;VALUE(SUBSTITUTE(SUBSTITUTE($T35,"$",""),",",""))),VALUE(SUBSTITUTE(SUBSTITUTE($T35,"$",""),",",""))-AL35,""),"")</f>
        <v/>
      </c>
      <c r="BD35">
        <f t="array" ref="BD35">IFERROR(_xlfn.LET(_xlpm.current,VALUE(SUBSTITUTE(SUBSTITUTE($T35,"$",""),",","")),_xlpm.quotes,AF35:AY35,_xlpm.lowest,_xlfn.MINIFS(_xlpm.quotes,_xlpm.quotes,"&lt;"&amp;_xlpm.current,_xlpm.quotes,"&gt;0"),IF(_xlpm.lowest="","",SUBSTITUTE(INDEX($AF$1:$AY$1,1,MATCH(_xlpm.lowest,_xlpm.quotes,0))," Monthly Quote",""))),"")</f>
        <v/>
      </c>
      <c r="BE35" s="80">
        <f t="array" ref="BE35">IFERROR(_xlfn.LET(_xlpm.current,VALUE(SUBSTITUTE(SUBSTITUTE($T35,"$",""),",","")),_xlpm.quotes,AF35:AY35,_xlpm.lowest,_xlfn.MINIFS(_xlpm.quotes,_xlpm.quotes,"&lt;"&amp;_xlpm.current,_xlpm.quotes,"&gt;0"),IF(_xlpm.lowest="","",_xlpm.current-_xlpm.lowest)),"")</f>
        <v/>
      </c>
    </row>
    <row r="36">
      <c r="A36" s="67" t="inlineStr">
        <is>
          <t>Betty L</t>
        </is>
      </c>
      <c r="B36" s="67" t="inlineStr">
        <is>
          <t>Smith</t>
        </is>
      </c>
      <c r="C36" s="68" t="n">
        <v>6102981004</v>
      </c>
      <c r="D36" s="68" t="n">
        <v>73</v>
      </c>
      <c r="E36" s="69" t="n">
        <v>19211</v>
      </c>
      <c r="F36" s="67" t="inlineStr">
        <is>
          <t>Female</t>
        </is>
      </c>
      <c r="G36" s="67" t="inlineStr">
        <is>
          <t>7092 Herbert Dr New Tripoli, PA 18066</t>
        </is>
      </c>
      <c r="H36" s="67" t="inlineStr">
        <is>
          <t>PA</t>
        </is>
      </c>
      <c r="I36" s="68" t="n">
        <v>5</v>
      </c>
      <c r="J36" s="68" t="n">
        <v>200</v>
      </c>
      <c r="K36" s="67" t="inlineStr">
        <is>
          <t>No</t>
        </is>
      </c>
      <c r="L36" s="67" t="n"/>
      <c r="M36" s="67" t="inlineStr">
        <is>
          <t>Burial</t>
        </is>
      </c>
      <c r="N36" s="67" t="inlineStr">
        <is>
          <t>Irene M Wessner: 05/01/1937</t>
        </is>
      </c>
      <c r="O36" s="67" t="inlineStr">
        <is>
          <t>Mother</t>
        </is>
      </c>
      <c r="P36" s="67" t="inlineStr">
        <is>
          <t>Kean F Wessner: 08/01/1963</t>
        </is>
      </c>
      <c r="Q36" s="67" t="inlineStr">
        <is>
          <t>Brother</t>
        </is>
      </c>
      <c r="R36" s="67" t="inlineStr">
        <is>
          <t>MOO</t>
        </is>
      </c>
      <c r="S36" s="70" t="n">
        <v>5000</v>
      </c>
      <c r="T36" s="71" t="n">
        <v>33.38</v>
      </c>
      <c r="U36" s="69" t="n">
        <v>46001</v>
      </c>
      <c r="V36" s="69" t="n">
        <v>46032</v>
      </c>
      <c r="W36" s="68" t="n">
        <v>196408062</v>
      </c>
      <c r="X36" s="67" t="inlineStr">
        <is>
          <t>no</t>
        </is>
      </c>
      <c r="Y36" s="67" t="inlineStr">
        <is>
          <t>Truist Bank</t>
        </is>
      </c>
      <c r="Z36" s="68" t="n">
        <v>31309123</v>
      </c>
      <c r="AA36" s="72" t="n">
        <v>1390000000000</v>
      </c>
      <c r="AB36" s="67" t="inlineStr">
        <is>
          <t>Mitral Valve Prolapse Asthma (Mild) TIA or Mini-Stroke HBP high Chelostrol</t>
        </is>
      </c>
      <c r="AC36" s="67" t="inlineStr">
        <is>
          <t>8 pills</t>
        </is>
      </c>
      <c r="AD36" s="67" t="inlineStr">
        <is>
          <t>no</t>
        </is>
      </c>
      <c r="AE36" s="68" t="n">
        <v>73</v>
      </c>
      <c r="AF36" s="80">
        <f t="array" ref="AF36">IFERROR(_xlfn.LET(_xlpm.rate,INDEX(aflac!$B$2:$E$37,MATCH($AE36,aflac!$A$2:$A$37,0),IF(LOWER(TRIM($F36))="male",IF(LOWER(TRIM($K36))="yes",2,1),IF(LOWER(TRIM($K36))="yes",4,3))),_xlpm.coverage,VALUE(SUBSTITUTE(SUBSTITUTE($S36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6" s="80">
        <f t="array" ref="AG36">IFERROR(_xlfn.LET(_xlpm.rate,INDEX('aflac-modified'!$B$2:$C$32,MATCH($AE36,'aflac-modified'!$A$2:$A$32,0),IF(LOWER(TRIM($F36))="male",1,2)),_xlpm.coverage,VALUE(SUBSTITUTE(SUBSTITUTE($S36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6" s="80">
        <f t="array" ref="AH36">IFERROR(_xlfn.LET(_xlpm.rate,INDEX(SBLI!$B$2:$E$37,MATCH($AE36,SBLI!$A$2:$A$37,0),IF(LOWER(TRIM($F36))="male",IF(LOWER(TRIM($K36))="yes",2,1),IF(LOWER(TRIM($K36))="yes",4,3))),_xlpm.coverage,VALUE(SUBSTITUTE(SUBSTITUTE($S36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6" s="80">
        <f t="array" ref="AI36">IFERROR(_xlfn.LET(_xlpm.rate,INDEX('SBLI-Modified'!$B$2:$E$27,MATCH($AE36,'SBLI-Modified'!$A$2:$A$27,0),IF(LOWER(TRIM($F36))="male",IF(LOWER(TRIM($K36))="yes",2,1),IF(LOWER(TRIM($K36))="yes",4,3))),_xlpm.coverage,VALUE(SUBSTITUTE(SUBSTITUTE($S36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6" s="80">
        <f t="array" ref="AJ36">IFERROR(_xlfn.LET(_xlpm.rate,INDEX(CICA!$B$2:$C$42,MATCH($AE36,CICA!$A$2:$A$42,0),IF(LOWER(TRIM($F36))="male",1,2)),_xlpm.coverage,VALUE(SUBSTITUTE(SUBSTITUTE($S36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6" s="80">
        <f t="array" ref="AK36">IFERROR(_xlfn.LET(_xlpm.rate,INDEX('CICA-GI'!$B$2:$C$47,MATCH($AE36,'CICA-GI'!$A$2:$A$47,0),IF(LOWER(TRIM($F36))="male",1,2)),_xlpm.coverage,VALUE(SUBSTITUTE(SUBSTITUTE($S36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6" s="80">
        <f t="array" ref="AL36">IFERROR(_xlfn.LET(_xlpm.rate,INDEX(gtl!$B$2:$C$52,MATCH($AE36,gtl!$A$2:$A$52,0),IF(LOWER(TRIM($F36))="male",1,2)),_xlpm.coverage,VALUE(SUBSTITUTE(SUBSTITUTE($S36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6" s="80">
        <f t="array" ref="AM36">IFERROR(_xlfn.LET(_xlpm.rate,INDEX(TransAmerica!$B$2:$E$69,MATCH($AE36,TransAmerica!$A$2:$A$69,0),IF(LOWER(TRIM($F36))="male",IF(LOWER(TRIM($K36))="yes",2,1),IF(LOWER(TRIM($K36))="yes",4,3))),_xlpm.coverage,VALUE(SUBSTITUTE(SUBSTITUTE($S36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6" s="80">
        <f t="array" ref="AN36">IFERROR(_xlfn.LET(_xlpm.rate,INDEX('TransAmerica Graded'!$B$2:$E$64,MATCH($AE36,'TransAmerica Graded'!$A$2:$A$64,0),IF(LOWER(TRIM($F36))="male",IF(LOWER(TRIM($K36))="yes",2,1),IF(LOWER(TRIM($K36))="yes",4,3))),_xlpm.coverage,VALUE(SUBSTITUTE(SUBSTITUTE($S36,"$",""),",","")),_xlpm.base,_xlpm.rate*(_xlpm.coverage/1000),_xlpm.fee,_xlfn.XLOOKUP("TransAmerica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6" s="80">
        <f t="array" ref="AO36">IFERROR(_xlfn.LET(_xlpm.rate,INDEX(Corebridge!$B$2:$C$32,MATCH($AE36,Corebridge!$A$2:$A$32,0),IF(LOWER(TRIM($F36))="male",1,2)),_xlpm.coverage,VALUE(SUBSTITUTE(SUBSTITUTE($S36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6" s="80">
        <f t="array" ref="AP36">IFERROR(_xlfn.LET(_xlpm.rate,INDEX(amam!$B$2:$E$37,MATCH($AE36,amam!$A$2:$A$37,0),IF(LOWER(TRIM($F36))="male",IF(LOWER(TRIM($K36))="yes",2,1),IF(LOWER(TRIM($K36))="yes",4,3))),_xlpm.coverage,VALUE(SUBSTITUTE(SUBSTITUTE($S36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6" s="80">
        <f t="array" ref="AQ36">IFERROR(_xlfn.LET(_xlpm.rate,INDEX('amam-graded'!$B$2:$E$37,MATCH($AE36,'amam-graded'!$A$2:$A$37,0),IF(LOWER(TRIM($F36))="male",IF(LOWER(TRIM($K36))="yes",2,1),IF(LOWER(TRIM($K36))="yes",4,3))),_xlpm.coverage,VALUE(SUBSTITUTE(SUBSTITUTE($S36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6" s="80">
        <f t="array" ref="AR36">IFERROR(_xlfn.LET(_xlpm.rate,INDEX('amam-return-or-premium'!$B$2:$E$37,MATCH($AE36,'amam-return-or-premium'!$A$2:$A$37,0),IF(LOWER(TRIM($F36))="male",IF(LOWER(TRIM($K36))="yes",2,1),IF(LOWER(TRIM($K36))="yes",4,3))),_xlpm.coverage,VALUE(SUBSTITUTE(SUBSTITUTE($S36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6" s="80">
        <f t="array" ref="AS36">IFERROR(_xlfn.LET(_xlpm.rate,INDEX(AHL!$B$2:$E$37,MATCH($AE36,AHL!$A$2:$A$37,0),IF(LOWER(TRIM($F36))="male",IF(LOWER(TRIM($K36))="yes",2,1),IF(LOWER(TRIM($K36))="yes",4,3))),_xlpm.coverage,VALUE(SUBSTITUTE(SUBSTITUTE($S36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6" s="80">
        <f t="array" ref="AT36">IFERROR(_xlfn.LET(_xlpm.rate,INDEX('AHL-Graded'!$B$2:$E$32,MATCH($AE36,'AHL-Graded'!$A$2:$A$32,0),IF(LOWER(TRIM($F36))="male",IF(LOWER(TRIM($K36))="yes",2,1),IF(LOWER(TRIM($K36))="yes",4,3))),_xlpm.coverage,VALUE(SUBSTITUTE(SUBSTITUTE($S36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6" s="80">
        <f t="array" ref="AU36">IFERROR(_xlfn.LET(_xlpm.rate,INDEX('Royal Neighbors'!$B$2:$E$37,MATCH($AE36,'Royal Neighbors'!$A$2:$A$37,0),IF(LOWER(TRIM($F36))="male",IF(LOWER(TRIM($K36))="yes",2,1),IF(LOWER(TRIM($K36))="yes",4,3))),_xlpm.coverage,VALUE(SUBSTITUTE(SUBSTITUTE($S36,"$",""),",","")),_xlpm.base,_xlpm.rate*(_xlpm.coverage/1000),_xlpm.fee,_xlfn.XLOOKUP("Royal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6" s="80">
        <f t="array" ref="AV36">IFERROR(_xlfn.LET(_xlpm.rate,INDEX('Royal Neighbors-Graded'!$B$2:$E$37,MATCH($AE36,'Royal Neighbors-Graded'!$A$2:$A$37,0),IF(LOWER(TRIM($F36))="male",IF(LOWER(TRIM($K36))="yes",2,1),IF(LOWER(TRIM($K36))="yes",4,3))),_xlpm.coverage,VALUE(SUBSTITUTE(SUBSTITUTE($S36,"$",""),",","")),_xlpm.base,_xlpm.rate*(_xlpm.coverage/1000),_xlpm.fee,_xlfn.XLOOKUP("Royal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6" s="80">
        <f t="array" ref="AW36">IFERROR(_xlfn.LET(_xlpm.rate,INDEX('Gerber-GI'!$B$2:$C$32,MATCH($AE36,'Gerber-GI'!$A$2:$A$32,0),IF(LOWER(TRIM($F36))="male",1,2)),_xlpm.coverage,VALUE(SUBSTITUTE(SUBSTITUTE($S36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6" s="80">
        <f t="array" ref="AX36">IFERROR(_xlfn.LET(_xlpm.rate,INDEX('Mutual of Omaha'!$B$2:$E$42,MATCH($AE36,'Mutual of Omaha'!$A$2:$A$42,0),IF(LOWER(TRIM($F36))="male",IF(LOWER(TRIM($K36))="yes",2,1),IF(LOWER(TRIM($K36))="yes",4,3))),_xlpm.coverage,VALUE(SUBSTITUTE(SUBSTITUTE($S36,"$",""),",","")),_xlpm.base,_xlpm.rate*(_xlpm.coverage/1000),_xlpm.fee,_xlfn.XLOOKUP("Mutal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6" s="80">
        <f t="array" ref="AY36">IFERROR(_xlfn.LET(_xlpm.rate,INDEX('Mutual of Omaha-Graded'!$B$2:$E$37,MATCH($AE36,'Mutual of Omaha-Graded'!$A$2:$A$37,0),IF(LOWER(TRIM($F36))="male",IF(LOWER(TRIM($K36))="yes",2,1),IF(LOWER(TRIM($K36))="yes",4,3))),_xlpm.coverage,VALUE(SUBSTITUTE(SUBSTITUTE($S36,"$",""),",","")),_xlpm.base,_xlpm.rate*(_xlpm.coverage/1000),_xlpm.fee,_xlfn.XLOOKUP("Mutual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6" s="80">
        <f>AP36</f>
        <v/>
      </c>
      <c r="BA36" s="80">
        <f>IFERROR(IF(AND(AP36&gt;0,AP36&lt;VALUE(SUBSTITUTE(SUBSTITUTE($T36,"$",""),",",""))),VALUE(SUBSTITUTE(SUBSTITUTE($T36,"$",""),",",""))-AP36,""),"")</f>
        <v/>
      </c>
      <c r="BB36" s="80">
        <f>AL36</f>
        <v/>
      </c>
      <c r="BC36" s="80">
        <f>IFERROR(IF(AND(AL36&gt;0,AL36&lt;VALUE(SUBSTITUTE(SUBSTITUTE($T36,"$",""),",",""))),VALUE(SUBSTITUTE(SUBSTITUTE($T36,"$",""),",",""))-AL36,""),"")</f>
        <v/>
      </c>
      <c r="BD36">
        <f t="array" ref="BD36">IFERROR(_xlfn.LET(_xlpm.current,VALUE(SUBSTITUTE(SUBSTITUTE($T36,"$",""),",","")),_xlpm.quotes,AF36:AY36,_xlpm.lowest,_xlfn.MINIFS(_xlpm.quotes,_xlpm.quotes,"&lt;"&amp;_xlpm.current,_xlpm.quotes,"&gt;0"),IF(_xlpm.lowest="","",SUBSTITUTE(INDEX($AF$1:$AY$1,1,MATCH(_xlpm.lowest,_xlpm.quotes,0))," Monthly Quote",""))),"")</f>
        <v/>
      </c>
      <c r="BE36" s="80">
        <f t="array" ref="BE36">IFERROR(_xlfn.LET(_xlpm.current,VALUE(SUBSTITUTE(SUBSTITUTE($T36,"$",""),",","")),_xlpm.quotes,AF36:AY36,_xlpm.lowest,_xlfn.MINIFS(_xlpm.quotes,_xlpm.quotes,"&lt;"&amp;_xlpm.current,_xlpm.quotes,"&gt;0"),IF(_xlpm.lowest="","",_xlpm.current-_xlpm.lowest)),"")</f>
        <v/>
      </c>
    </row>
    <row r="37">
      <c r="A37" s="67" t="inlineStr">
        <is>
          <t>Shirley E</t>
        </is>
      </c>
      <c r="B37" s="67" t="inlineStr">
        <is>
          <t>Adams</t>
        </is>
      </c>
      <c r="C37" s="68" t="n">
        <v>6094455539</v>
      </c>
      <c r="D37" s="68" t="n">
        <v>77</v>
      </c>
      <c r="E37" s="69" t="n">
        <v>17431</v>
      </c>
      <c r="F37" s="67" t="inlineStr">
        <is>
          <t>Female</t>
        </is>
      </c>
      <c r="G37" s="67" t="inlineStr">
        <is>
          <t>1311 Aloe St, Unit 208 Egg Harbor City NJ 08215</t>
        </is>
      </c>
      <c r="H37" s="67" t="inlineStr">
        <is>
          <t>NJ</t>
        </is>
      </c>
      <c r="I37" s="68" t="n">
        <v>5.1</v>
      </c>
      <c r="J37" s="68" t="n">
        <v>201</v>
      </c>
      <c r="K37" s="67" t="inlineStr">
        <is>
          <t>No</t>
        </is>
      </c>
      <c r="L37" s="67" t="n"/>
      <c r="M37" s="67" t="inlineStr">
        <is>
          <t>Cremation</t>
        </is>
      </c>
      <c r="N37" s="67" t="inlineStr">
        <is>
          <t>Shelly Adams: 06/25/1972 :</t>
        </is>
      </c>
      <c r="O37" s="67" t="inlineStr">
        <is>
          <t>Daughter</t>
        </is>
      </c>
      <c r="P37" s="67" t="n"/>
      <c r="Q37" s="67" t="n"/>
      <c r="R37" s="67" t="inlineStr">
        <is>
          <t>MOO</t>
        </is>
      </c>
      <c r="S37" s="70" t="n">
        <v>4000</v>
      </c>
      <c r="T37" s="71" t="n">
        <v>37.3</v>
      </c>
      <c r="U37" s="69" t="n">
        <v>45980</v>
      </c>
      <c r="V37" s="69" t="n">
        <v>46008</v>
      </c>
      <c r="W37" s="68" t="n">
        <v>144402768</v>
      </c>
      <c r="X37" s="67" t="inlineStr">
        <is>
          <t>NO</t>
        </is>
      </c>
      <c r="Y37" s="67" t="inlineStr">
        <is>
          <t>OceanFirst Bank</t>
        </is>
      </c>
      <c r="Z37" s="68" t="n">
        <v>231271080</v>
      </c>
      <c r="AA37" s="68" t="n">
        <v>18002274823</v>
      </c>
      <c r="AB37" s="67" t="inlineStr">
        <is>
          <t>HBP</t>
        </is>
      </c>
      <c r="AC37" s="67" t="inlineStr">
        <is>
          <t>2 pills</t>
        </is>
      </c>
      <c r="AD37" s="67" t="inlineStr">
        <is>
          <t>Dr. Gregg Pearson</t>
        </is>
      </c>
      <c r="AE37" s="68" t="n">
        <v>78</v>
      </c>
      <c r="AF37" s="80">
        <f t="array" ref="AF37">IFERROR(_xlfn.LET(_xlpm.rate,INDEX(aflac!$B$2:$E$37,MATCH($AE37,aflac!$A$2:$A$37,0),IF(LOWER(TRIM($F37))="male",IF(LOWER(TRIM($K37))="yes",2,1),IF(LOWER(TRIM($K37))="yes",4,3))),_xlpm.coverage,VALUE(SUBSTITUTE(SUBSTITUTE($S37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7" s="80">
        <f t="array" ref="AG37">IFERROR(_xlfn.LET(_xlpm.rate,INDEX('aflac-modified'!$B$2:$C$32,MATCH($AE37,'aflac-modified'!$A$2:$A$32,0),IF(LOWER(TRIM($F37))="male",1,2)),_xlpm.coverage,VALUE(SUBSTITUTE(SUBSTITUTE($S37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7" s="80">
        <f t="array" ref="AH37">IFERROR(_xlfn.LET(_xlpm.rate,INDEX(SBLI!$B$2:$E$37,MATCH($AE37,SBLI!$A$2:$A$37,0),IF(LOWER(TRIM($F37))="male",IF(LOWER(TRIM($K37))="yes",2,1),IF(LOWER(TRIM($K37))="yes",4,3))),_xlpm.coverage,VALUE(SUBSTITUTE(SUBSTITUTE($S37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7" s="80">
        <f t="array" ref="AI37">IFERROR(_xlfn.LET(_xlpm.rate,INDEX('SBLI-Modified'!$B$2:$E$27,MATCH($AE37,'SBLI-Modified'!$A$2:$A$27,0),IF(LOWER(TRIM($F37))="male",IF(LOWER(TRIM($K37))="yes",2,1),IF(LOWER(TRIM($K37))="yes",4,3))),_xlpm.coverage,VALUE(SUBSTITUTE(SUBSTITUTE($S37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7" s="80">
        <f t="array" ref="AJ37">IFERROR(_xlfn.LET(_xlpm.rate,INDEX(CICA!$B$2:$C$42,MATCH($AE37,CICA!$A$2:$A$42,0),IF(LOWER(TRIM($F37))="male",1,2)),_xlpm.coverage,VALUE(SUBSTITUTE(SUBSTITUTE($S37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7" s="80">
        <f t="array" ref="AK37">IFERROR(_xlfn.LET(_xlpm.rate,INDEX('CICA-GI'!$B$2:$C$47,MATCH($AE37,'CICA-GI'!$A$2:$A$47,0),IF(LOWER(TRIM($F37))="male",1,2)),_xlpm.coverage,VALUE(SUBSTITUTE(SUBSTITUTE($S37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7" s="80">
        <f t="array" ref="AL37">IFERROR(_xlfn.LET(_xlpm.rate,INDEX(gtl!$B$2:$C$52,MATCH($AE37,gtl!$A$2:$A$52,0),IF(LOWER(TRIM($F37))="male",1,2)),_xlpm.coverage,VALUE(SUBSTITUTE(SUBSTITUTE($S37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7" s="80">
        <f t="array" ref="AM37">IFERROR(_xlfn.LET(_xlpm.rate,INDEX(TransAmerica!$B$2:$E$69,MATCH($AE37,TransAmerica!$A$2:$A$69,0),IF(LOWER(TRIM($F37))="male",IF(LOWER(TRIM($K37))="yes",2,1),IF(LOWER(TRIM($K37))="yes",4,3))),_xlpm.coverage,VALUE(SUBSTITUTE(SUBSTITUTE($S37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7" s="80">
        <f t="array" ref="AN37">IFERROR(_xlfn.LET(_xlpm.rate,INDEX('TransAmerica Graded'!$B$2:$E$64,MATCH($AE37,'TransAmerica Graded'!$A$2:$A$64,0),IF(LOWER(TRIM($F37))="male",IF(LOWER(TRIM($K37))="yes",2,1),IF(LOWER(TRIM($K37))="yes",4,3))),_xlpm.coverage,VALUE(SUBSTITUTE(SUBSTITUTE($S37,"$",""),",","")),_xlpm.base,_xlpm.rate*(_xlpm.coverage/1000),_xlpm.fee,_xlfn.XLOOKUP("TransAmerica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7" s="80">
        <f t="array" ref="AO37">IFERROR(_xlfn.LET(_xlpm.rate,INDEX(Corebridge!$B$2:$C$32,MATCH($AE37,Corebridge!$A$2:$A$32,0),IF(LOWER(TRIM($F37))="male",1,2)),_xlpm.coverage,VALUE(SUBSTITUTE(SUBSTITUTE($S37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7" s="80">
        <f t="array" ref="AP37">IFERROR(_xlfn.LET(_xlpm.rate,INDEX(amam!$B$2:$E$37,MATCH($AE37,amam!$A$2:$A$37,0),IF(LOWER(TRIM($F37))="male",IF(LOWER(TRIM($K37))="yes",2,1),IF(LOWER(TRIM($K37))="yes",4,3))),_xlpm.coverage,VALUE(SUBSTITUTE(SUBSTITUTE($S37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7" s="80">
        <f t="array" ref="AQ37">IFERROR(_xlfn.LET(_xlpm.rate,INDEX('amam-graded'!$B$2:$E$37,MATCH($AE37,'amam-graded'!$A$2:$A$37,0),IF(LOWER(TRIM($F37))="male",IF(LOWER(TRIM($K37))="yes",2,1),IF(LOWER(TRIM($K37))="yes",4,3))),_xlpm.coverage,VALUE(SUBSTITUTE(SUBSTITUTE($S37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7" s="80">
        <f t="array" ref="AR37">IFERROR(_xlfn.LET(_xlpm.rate,INDEX('amam-return-or-premium'!$B$2:$E$37,MATCH($AE37,'amam-return-or-premium'!$A$2:$A$37,0),IF(LOWER(TRIM($F37))="male",IF(LOWER(TRIM($K37))="yes",2,1),IF(LOWER(TRIM($K37))="yes",4,3))),_xlpm.coverage,VALUE(SUBSTITUTE(SUBSTITUTE($S37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7" s="80">
        <f t="array" ref="AS37">IFERROR(_xlfn.LET(_xlpm.rate,INDEX(AHL!$B$2:$E$37,MATCH($AE37,AHL!$A$2:$A$37,0),IF(LOWER(TRIM($F37))="male",IF(LOWER(TRIM($K37))="yes",2,1),IF(LOWER(TRIM($K37))="yes",4,3))),_xlpm.coverage,VALUE(SUBSTITUTE(SUBSTITUTE($S37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7" s="80">
        <f t="array" ref="AT37">IFERROR(_xlfn.LET(_xlpm.rate,INDEX('AHL-Graded'!$B$2:$E$32,MATCH($AE37,'AHL-Graded'!$A$2:$A$32,0),IF(LOWER(TRIM($F37))="male",IF(LOWER(TRIM($K37))="yes",2,1),IF(LOWER(TRIM($K37))="yes",4,3))),_xlpm.coverage,VALUE(SUBSTITUTE(SUBSTITUTE($S37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7" s="80">
        <f t="array" ref="AU37">IFERROR(_xlfn.LET(_xlpm.rate,INDEX('Royal Neighbors'!$B$2:$E$37,MATCH($AE37,'Royal Neighbors'!$A$2:$A$37,0),IF(LOWER(TRIM($F37))="male",IF(LOWER(TRIM($K37))="yes",2,1),IF(LOWER(TRIM($K37))="yes",4,3))),_xlpm.coverage,VALUE(SUBSTITUTE(SUBSTITUTE($S37,"$",""),",","")),_xlpm.base,_xlpm.rate*(_xlpm.coverage/1000),_xlpm.fee,_xlfn.XLOOKUP("Royal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7" s="80">
        <f t="array" ref="AV37">IFERROR(_xlfn.LET(_xlpm.rate,INDEX('Royal Neighbors-Graded'!$B$2:$E$37,MATCH($AE37,'Royal Neighbors-Graded'!$A$2:$A$37,0),IF(LOWER(TRIM($F37))="male",IF(LOWER(TRIM($K37))="yes",2,1),IF(LOWER(TRIM($K37))="yes",4,3))),_xlpm.coverage,VALUE(SUBSTITUTE(SUBSTITUTE($S37,"$",""),",","")),_xlpm.base,_xlpm.rate*(_xlpm.coverage/1000),_xlpm.fee,_xlfn.XLOOKUP("Royal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7" s="80">
        <f t="array" ref="AW37">IFERROR(_xlfn.LET(_xlpm.rate,INDEX('Gerber-GI'!$B$2:$C$32,MATCH($AE37,'Gerber-GI'!$A$2:$A$32,0),IF(LOWER(TRIM($F37))="male",1,2)),_xlpm.coverage,VALUE(SUBSTITUTE(SUBSTITUTE($S37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7" s="80">
        <f t="array" ref="AX37">IFERROR(_xlfn.LET(_xlpm.rate,INDEX('Mutual of Omaha'!$B$2:$E$42,MATCH($AE37,'Mutual of Omaha'!$A$2:$A$42,0),IF(LOWER(TRIM($F37))="male",IF(LOWER(TRIM($K37))="yes",2,1),IF(LOWER(TRIM($K37))="yes",4,3))),_xlpm.coverage,VALUE(SUBSTITUTE(SUBSTITUTE($S37,"$",""),",","")),_xlpm.base,_xlpm.rate*(_xlpm.coverage/1000),_xlpm.fee,_xlfn.XLOOKUP("Mutal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7" s="80">
        <f t="array" ref="AY37">IFERROR(_xlfn.LET(_xlpm.rate,INDEX('Mutual of Omaha-Graded'!$B$2:$E$37,MATCH($AE37,'Mutual of Omaha-Graded'!$A$2:$A$37,0),IF(LOWER(TRIM($F37))="male",IF(LOWER(TRIM($K37))="yes",2,1),IF(LOWER(TRIM($K37))="yes",4,3))),_xlpm.coverage,VALUE(SUBSTITUTE(SUBSTITUTE($S37,"$",""),",","")),_xlpm.base,_xlpm.rate*(_xlpm.coverage/1000),_xlpm.fee,_xlfn.XLOOKUP("Mutual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7" s="80">
        <f>AP37</f>
        <v/>
      </c>
      <c r="BA37" s="80">
        <f>IFERROR(IF(AND(AP37&gt;0,AP37&lt;VALUE(SUBSTITUTE(SUBSTITUTE($T37,"$",""),",",""))),VALUE(SUBSTITUTE(SUBSTITUTE($T37,"$",""),",",""))-AP37,""),"")</f>
        <v/>
      </c>
      <c r="BB37" s="80">
        <f>AL37</f>
        <v/>
      </c>
      <c r="BC37" s="80">
        <f>IFERROR(IF(AND(AL37&gt;0,AL37&lt;VALUE(SUBSTITUTE(SUBSTITUTE($T37,"$",""),",",""))),VALUE(SUBSTITUTE(SUBSTITUTE($T37,"$",""),",",""))-AL37,""),"")</f>
        <v/>
      </c>
      <c r="BD37">
        <f t="array" ref="BD37">IFERROR(_xlfn.LET(_xlpm.current,VALUE(SUBSTITUTE(SUBSTITUTE($T37,"$",""),",","")),_xlpm.quotes,AF37:AY37,_xlpm.lowest,_xlfn.MINIFS(_xlpm.quotes,_xlpm.quotes,"&lt;"&amp;_xlpm.current,_xlpm.quotes,"&gt;0"),IF(_xlpm.lowest="","",SUBSTITUTE(INDEX($AF$1:$AY$1,1,MATCH(_xlpm.lowest,_xlpm.quotes,0))," Monthly Quote",""))),"")</f>
        <v/>
      </c>
      <c r="BE37" s="80">
        <f t="array" ref="BE37">IFERROR(_xlfn.LET(_xlpm.current,VALUE(SUBSTITUTE(SUBSTITUTE($T37,"$",""),",","")),_xlpm.quotes,AF37:AY37,_xlpm.lowest,_xlfn.MINIFS(_xlpm.quotes,_xlpm.quotes,"&lt;"&amp;_xlpm.current,_xlpm.quotes,"&gt;0"),IF(_xlpm.lowest="","",_xlpm.current-_xlpm.lowest)),"")</f>
        <v/>
      </c>
    </row>
    <row r="38">
      <c r="A38" s="67" t="inlineStr">
        <is>
          <t>Suzette G</t>
        </is>
      </c>
      <c r="B38" s="67" t="inlineStr">
        <is>
          <t>Delaney</t>
        </is>
      </c>
      <c r="C38" s="68" t="n">
        <v>9707754166</v>
      </c>
      <c r="D38" s="68" t="n">
        <v>74</v>
      </c>
      <c r="E38" s="69" t="n">
        <v>18870</v>
      </c>
      <c r="F38" s="67" t="inlineStr">
        <is>
          <t>Female</t>
        </is>
      </c>
      <c r="G38" s="67" t="inlineStr">
        <is>
          <t>108 N 2nd St Riverton, WY 82501</t>
        </is>
      </c>
      <c r="H38" s="67" t="inlineStr">
        <is>
          <t>CA</t>
        </is>
      </c>
      <c r="I38" s="68" t="n">
        <v>5.4</v>
      </c>
      <c r="J38" s="68" t="n">
        <v>112</v>
      </c>
      <c r="K38" s="67" t="inlineStr">
        <is>
          <t>No</t>
        </is>
      </c>
      <c r="L38" s="67" t="n"/>
      <c r="M38" s="67" t="inlineStr">
        <is>
          <t>Cremation</t>
        </is>
      </c>
      <c r="N38" s="67" t="inlineStr">
        <is>
          <t>Garrett Mendes - 12 9 1986</t>
        </is>
      </c>
      <c r="O38" s="67" t="inlineStr">
        <is>
          <t>son</t>
        </is>
      </c>
      <c r="P38" s="67" t="inlineStr">
        <is>
          <t>Clark Mendes - 5 01 1990</t>
        </is>
      </c>
      <c r="Q38" s="67" t="inlineStr">
        <is>
          <t>son</t>
        </is>
      </c>
      <c r="R38" s="67" t="inlineStr">
        <is>
          <t>MOO</t>
        </is>
      </c>
      <c r="S38" s="70" t="n">
        <v>5000</v>
      </c>
      <c r="T38" s="71" t="n">
        <v>35.49</v>
      </c>
      <c r="U38" s="69" t="n">
        <v>45994</v>
      </c>
      <c r="V38" s="69" t="n">
        <v>46025</v>
      </c>
      <c r="W38" s="68" t="n">
        <v>562888237</v>
      </c>
      <c r="X38" s="67" t="inlineStr">
        <is>
          <t>No</t>
        </is>
      </c>
      <c r="Y38" s="67" t="inlineStr">
        <is>
          <t>BMO HARRIS BANK</t>
        </is>
      </c>
      <c r="Z38" s="68" t="n">
        <v>71025661</v>
      </c>
      <c r="AA38" s="68" t="n">
        <v>74290024</v>
      </c>
      <c r="AB38" s="67" t="inlineStr">
        <is>
          <t>No</t>
        </is>
      </c>
      <c r="AC38" s="67" t="inlineStr">
        <is>
          <t>2 Pills</t>
        </is>
      </c>
      <c r="AD38" s="67" t="inlineStr">
        <is>
          <t>No</t>
        </is>
      </c>
      <c r="AE38" s="68" t="n">
        <v>74</v>
      </c>
      <c r="AF38" s="80">
        <f t="array" ref="AF38">IFERROR(_xlfn.LET(_xlpm.rate,INDEX(aflac!$B$2:$E$37,MATCH($AE38,aflac!$A$2:$A$37,0),IF(LOWER(TRIM($F38))="male",IF(LOWER(TRIM($K38))="yes",2,1),IF(LOWER(TRIM($K38))="yes",4,3))),_xlpm.coverage,VALUE(SUBSTITUTE(SUBSTITUTE($S38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8" s="80">
        <f t="array" ref="AG38">IFERROR(_xlfn.LET(_xlpm.rate,INDEX('aflac-modified'!$B$2:$C$32,MATCH($AE38,'aflac-modified'!$A$2:$A$32,0),IF(LOWER(TRIM($F38))="male",1,2)),_xlpm.coverage,VALUE(SUBSTITUTE(SUBSTITUTE($S38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8" s="80">
        <f t="array" ref="AH38">IFERROR(_xlfn.LET(_xlpm.rate,INDEX(SBLI!$B$2:$E$37,MATCH($AE38,SBLI!$A$2:$A$37,0),IF(LOWER(TRIM($F38))="male",IF(LOWER(TRIM($K38))="yes",2,1),IF(LOWER(TRIM($K38))="yes",4,3))),_xlpm.coverage,VALUE(SUBSTITUTE(SUBSTITUTE($S38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8" s="80">
        <f t="array" ref="AI38">IFERROR(_xlfn.LET(_xlpm.rate,INDEX('SBLI-Modified'!$B$2:$E$27,MATCH($AE38,'SBLI-Modified'!$A$2:$A$27,0),IF(LOWER(TRIM($F38))="male",IF(LOWER(TRIM($K38))="yes",2,1),IF(LOWER(TRIM($K38))="yes",4,3))),_xlpm.coverage,VALUE(SUBSTITUTE(SUBSTITUTE($S38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8" s="80">
        <f t="array" ref="AJ38">IFERROR(_xlfn.LET(_xlpm.rate,INDEX(CICA!$B$2:$C$42,MATCH($AE38,CICA!$A$2:$A$42,0),IF(LOWER(TRIM($F38))="male",1,2)),_xlpm.coverage,VALUE(SUBSTITUTE(SUBSTITUTE($S38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8" s="80">
        <f t="array" ref="AK38">IFERROR(_xlfn.LET(_xlpm.rate,INDEX('CICA-GI'!$B$2:$C$47,MATCH($AE38,'CICA-GI'!$A$2:$A$47,0),IF(LOWER(TRIM($F38))="male",1,2)),_xlpm.coverage,VALUE(SUBSTITUTE(SUBSTITUTE($S38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8" s="80">
        <f t="array" ref="AL38">IFERROR(_xlfn.LET(_xlpm.rate,INDEX(gtl!$B$2:$C$52,MATCH($AE38,gtl!$A$2:$A$52,0),IF(LOWER(TRIM($F38))="male",1,2)),_xlpm.coverage,VALUE(SUBSTITUTE(SUBSTITUTE($S38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8" s="80">
        <f t="array" ref="AM38">IFERROR(_xlfn.LET(_xlpm.rate,INDEX(TransAmerica!$B$2:$E$69,MATCH($AE38,TransAmerica!$A$2:$A$69,0),IF(LOWER(TRIM($F38))="male",IF(LOWER(TRIM($K38))="yes",2,1),IF(LOWER(TRIM($K38))="yes",4,3))),_xlpm.coverage,VALUE(SUBSTITUTE(SUBSTITUTE($S38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8" s="80">
        <f t="array" ref="AN38">IFERROR(_xlfn.LET(_xlpm.rate,INDEX('TransAmerica Graded'!$B$2:$E$64,MATCH($AE38,'TransAmerica Graded'!$A$2:$A$64,0),IF(LOWER(TRIM($F38))="male",IF(LOWER(TRIM($K38))="yes",2,1),IF(LOWER(TRIM($K38))="yes",4,3))),_xlpm.coverage,VALUE(SUBSTITUTE(SUBSTITUTE($S38,"$",""),",","")),_xlpm.base,_xlpm.rate*(_xlpm.coverage/1000),_xlpm.fee,_xlfn.XLOOKUP("TransAmerica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8" s="80">
        <f t="array" ref="AO38">IFERROR(_xlfn.LET(_xlpm.rate,INDEX(Corebridge!$B$2:$C$32,MATCH($AE38,Corebridge!$A$2:$A$32,0),IF(LOWER(TRIM($F38))="male",1,2)),_xlpm.coverage,VALUE(SUBSTITUTE(SUBSTITUTE($S38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8" s="80">
        <f t="array" ref="AP38">IFERROR(_xlfn.LET(_xlpm.rate,INDEX(amam!$B$2:$E$37,MATCH($AE38,amam!$A$2:$A$37,0),IF(LOWER(TRIM($F38))="male",IF(LOWER(TRIM($K38))="yes",2,1),IF(LOWER(TRIM($K38))="yes",4,3))),_xlpm.coverage,VALUE(SUBSTITUTE(SUBSTITUTE($S38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8" s="80">
        <f t="array" ref="AQ38">IFERROR(_xlfn.LET(_xlpm.rate,INDEX('amam-graded'!$B$2:$E$37,MATCH($AE38,'amam-graded'!$A$2:$A$37,0),IF(LOWER(TRIM($F38))="male",IF(LOWER(TRIM($K38))="yes",2,1),IF(LOWER(TRIM($K38))="yes",4,3))),_xlpm.coverage,VALUE(SUBSTITUTE(SUBSTITUTE($S38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8" s="80">
        <f t="array" ref="AR38">IFERROR(_xlfn.LET(_xlpm.rate,INDEX('amam-return-or-premium'!$B$2:$E$37,MATCH($AE38,'amam-return-or-premium'!$A$2:$A$37,0),IF(LOWER(TRIM($F38))="male",IF(LOWER(TRIM($K38))="yes",2,1),IF(LOWER(TRIM($K38))="yes",4,3))),_xlpm.coverage,VALUE(SUBSTITUTE(SUBSTITUTE($S38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8" s="80">
        <f t="array" ref="AS38">IFERROR(_xlfn.LET(_xlpm.rate,INDEX(AHL!$B$2:$E$37,MATCH($AE38,AHL!$A$2:$A$37,0),IF(LOWER(TRIM($F38))="male",IF(LOWER(TRIM($K38))="yes",2,1),IF(LOWER(TRIM($K38))="yes",4,3))),_xlpm.coverage,VALUE(SUBSTITUTE(SUBSTITUTE($S38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8" s="80">
        <f t="array" ref="AT38">IFERROR(_xlfn.LET(_xlpm.rate,INDEX('AHL-Graded'!$B$2:$E$32,MATCH($AE38,'AHL-Graded'!$A$2:$A$32,0),IF(LOWER(TRIM($F38))="male",IF(LOWER(TRIM($K38))="yes",2,1),IF(LOWER(TRIM($K38))="yes",4,3))),_xlpm.coverage,VALUE(SUBSTITUTE(SUBSTITUTE($S38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8" s="80">
        <f t="array" ref="AU38">IFERROR(_xlfn.LET(_xlpm.rate,INDEX('Royal Neighbors'!$B$2:$E$37,MATCH($AE38,'Royal Neighbors'!$A$2:$A$37,0),IF(LOWER(TRIM($F38))="male",IF(LOWER(TRIM($K38))="yes",2,1),IF(LOWER(TRIM($K38))="yes",4,3))),_xlpm.coverage,VALUE(SUBSTITUTE(SUBSTITUTE($S38,"$",""),",","")),_xlpm.base,_xlpm.rate*(_xlpm.coverage/1000),_xlpm.fee,_xlfn.XLOOKUP("Royal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8" s="80">
        <f t="array" ref="AV38">IFERROR(_xlfn.LET(_xlpm.rate,INDEX('Royal Neighbors-Graded'!$B$2:$E$37,MATCH($AE38,'Royal Neighbors-Graded'!$A$2:$A$37,0),IF(LOWER(TRIM($F38))="male",IF(LOWER(TRIM($K38))="yes",2,1),IF(LOWER(TRIM($K38))="yes",4,3))),_xlpm.coverage,VALUE(SUBSTITUTE(SUBSTITUTE($S38,"$",""),",","")),_xlpm.base,_xlpm.rate*(_xlpm.coverage/1000),_xlpm.fee,_xlfn.XLOOKUP("Royal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8" s="80">
        <f t="array" ref="AW38">IFERROR(_xlfn.LET(_xlpm.rate,INDEX('Gerber-GI'!$B$2:$C$32,MATCH($AE38,'Gerber-GI'!$A$2:$A$32,0),IF(LOWER(TRIM($F38))="male",1,2)),_xlpm.coverage,VALUE(SUBSTITUTE(SUBSTITUTE($S38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8" s="80">
        <f t="array" ref="AX38">IFERROR(_xlfn.LET(_xlpm.rate,INDEX('Mutual of Omaha'!$B$2:$E$42,MATCH($AE38,'Mutual of Omaha'!$A$2:$A$42,0),IF(LOWER(TRIM($F38))="male",IF(LOWER(TRIM($K38))="yes",2,1),IF(LOWER(TRIM($K38))="yes",4,3))),_xlpm.coverage,VALUE(SUBSTITUTE(SUBSTITUTE($S38,"$",""),",","")),_xlpm.base,_xlpm.rate*(_xlpm.coverage/1000),_xlpm.fee,_xlfn.XLOOKUP("Mutal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8" s="80">
        <f t="array" ref="AY38">IFERROR(_xlfn.LET(_xlpm.rate,INDEX('Mutual of Omaha-Graded'!$B$2:$E$37,MATCH($AE38,'Mutual of Omaha-Graded'!$A$2:$A$37,0),IF(LOWER(TRIM($F38))="male",IF(LOWER(TRIM($K38))="yes",2,1),IF(LOWER(TRIM($K38))="yes",4,3))),_xlpm.coverage,VALUE(SUBSTITUTE(SUBSTITUTE($S38,"$",""),",","")),_xlpm.base,_xlpm.rate*(_xlpm.coverage/1000),_xlpm.fee,_xlfn.XLOOKUP("Mutual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8" s="80">
        <f>AP38</f>
        <v/>
      </c>
      <c r="BA38" s="80">
        <f>IFERROR(IF(AND(AP38&gt;0,AP38&lt;VALUE(SUBSTITUTE(SUBSTITUTE($T38,"$",""),",",""))),VALUE(SUBSTITUTE(SUBSTITUTE($T38,"$",""),",",""))-AP38,""),"")</f>
        <v/>
      </c>
      <c r="BB38" s="80">
        <f>AL38</f>
        <v/>
      </c>
      <c r="BC38" s="80">
        <f>IFERROR(IF(AND(AL38&gt;0,AL38&lt;VALUE(SUBSTITUTE(SUBSTITUTE($T38,"$",""),",",""))),VALUE(SUBSTITUTE(SUBSTITUTE($T38,"$",""),",",""))-AL38,""),"")</f>
        <v/>
      </c>
      <c r="BD38">
        <f t="array" ref="BD38">IFERROR(_xlfn.LET(_xlpm.current,VALUE(SUBSTITUTE(SUBSTITUTE($T38,"$",""),",","")),_xlpm.quotes,AF38:AY38,_xlpm.lowest,_xlfn.MINIFS(_xlpm.quotes,_xlpm.quotes,"&lt;"&amp;_xlpm.current,_xlpm.quotes,"&gt;0"),IF(_xlpm.lowest="","",SUBSTITUTE(INDEX($AF$1:$AY$1,1,MATCH(_xlpm.lowest,_xlpm.quotes,0))," Monthly Quote",""))),"")</f>
        <v/>
      </c>
      <c r="BE38" s="80">
        <f t="array" ref="BE38">IFERROR(_xlfn.LET(_xlpm.current,VALUE(SUBSTITUTE(SUBSTITUTE($T38,"$",""),",","")),_xlpm.quotes,AF38:AY38,_xlpm.lowest,_xlfn.MINIFS(_xlpm.quotes,_xlpm.quotes,"&lt;"&amp;_xlpm.current,_xlpm.quotes,"&gt;0"),IF(_xlpm.lowest="","",_xlpm.current-_xlpm.lowest)),"")</f>
        <v/>
      </c>
    </row>
    <row r="39">
      <c r="A39" s="67" t="inlineStr">
        <is>
          <t>Suzette G</t>
        </is>
      </c>
      <c r="B39" s="67" t="inlineStr">
        <is>
          <t>Delaney</t>
        </is>
      </c>
      <c r="C39" s="68" t="n">
        <v>9707754166</v>
      </c>
      <c r="D39" s="68" t="n">
        <v>74</v>
      </c>
      <c r="E39" s="69" t="n">
        <v>18870</v>
      </c>
      <c r="F39" s="67" t="inlineStr">
        <is>
          <t>Female</t>
        </is>
      </c>
      <c r="G39" s="67" t="inlineStr">
        <is>
          <t>108 N 2nd St Riverton, WY 82501</t>
        </is>
      </c>
      <c r="H39" s="67" t="inlineStr">
        <is>
          <t>CA</t>
        </is>
      </c>
      <c r="I39" s="68" t="n">
        <v>5.4</v>
      </c>
      <c r="J39" s="68" t="n">
        <v>112</v>
      </c>
      <c r="K39" s="67" t="inlineStr">
        <is>
          <t>No</t>
        </is>
      </c>
      <c r="L39" s="67" t="n"/>
      <c r="M39" s="67" t="inlineStr">
        <is>
          <t>Cremation</t>
        </is>
      </c>
      <c r="N39" s="67" t="inlineStr">
        <is>
          <t>Garrett Mendes - 12 9 1986</t>
        </is>
      </c>
      <c r="O39" s="67" t="inlineStr">
        <is>
          <t>son</t>
        </is>
      </c>
      <c r="P39" s="67" t="inlineStr">
        <is>
          <t>Clark Mendes - 5 01 1990</t>
        </is>
      </c>
      <c r="Q39" s="67" t="inlineStr">
        <is>
          <t>son</t>
        </is>
      </c>
      <c r="R39" s="67" t="inlineStr">
        <is>
          <t>MOO</t>
        </is>
      </c>
      <c r="S39" s="70" t="n">
        <v>5000</v>
      </c>
      <c r="T39" s="71" t="n">
        <v>35.49</v>
      </c>
      <c r="U39" s="69" t="n">
        <v>45994</v>
      </c>
      <c r="V39" s="69" t="n">
        <v>46025</v>
      </c>
      <c r="W39" s="68" t="n">
        <v>562888237</v>
      </c>
      <c r="X39" s="67" t="inlineStr">
        <is>
          <t>No</t>
        </is>
      </c>
      <c r="Y39" s="67" t="inlineStr">
        <is>
          <t>BMO HARRIS BANK</t>
        </is>
      </c>
      <c r="Z39" s="68" t="n">
        <v>71025661</v>
      </c>
      <c r="AA39" s="68" t="n">
        <v>74290024</v>
      </c>
      <c r="AB39" s="67" t="inlineStr">
        <is>
          <t>No</t>
        </is>
      </c>
      <c r="AC39" s="67" t="inlineStr">
        <is>
          <t>2 Pills</t>
        </is>
      </c>
      <c r="AD39" s="67" t="inlineStr">
        <is>
          <t>No</t>
        </is>
      </c>
      <c r="AE39" s="68" t="n">
        <v>74</v>
      </c>
      <c r="AF39" s="80">
        <f t="array" ref="AF39">IFERROR(_xlfn.LET(_xlpm.rate,INDEX(aflac!$B$2:$E$37,MATCH($AE39,aflac!$A$2:$A$37,0),IF(LOWER(TRIM($F39))="male",IF(LOWER(TRIM($K39))="yes",2,1),IF(LOWER(TRIM($K39))="yes",4,3))),_xlpm.coverage,VALUE(SUBSTITUTE(SUBSTITUTE($S39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39" s="80">
        <f t="array" ref="AG39">IFERROR(_xlfn.LET(_xlpm.rate,INDEX('aflac-modified'!$B$2:$C$32,MATCH($AE39,'aflac-modified'!$A$2:$A$32,0),IF(LOWER(TRIM($F39))="male",1,2)),_xlpm.coverage,VALUE(SUBSTITUTE(SUBSTITUTE($S39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39" s="80">
        <f t="array" ref="AH39">IFERROR(_xlfn.LET(_xlpm.rate,INDEX(SBLI!$B$2:$E$37,MATCH($AE39,SBLI!$A$2:$A$37,0),IF(LOWER(TRIM($F39))="male",IF(LOWER(TRIM($K39))="yes",2,1),IF(LOWER(TRIM($K39))="yes",4,3))),_xlpm.coverage,VALUE(SUBSTITUTE(SUBSTITUTE($S39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39" s="80">
        <f t="array" ref="AI39">IFERROR(_xlfn.LET(_xlpm.rate,INDEX('SBLI-Modified'!$B$2:$E$27,MATCH($AE39,'SBLI-Modified'!$A$2:$A$27,0),IF(LOWER(TRIM($F39))="male",IF(LOWER(TRIM($K39))="yes",2,1),IF(LOWER(TRIM($K39))="yes",4,3))),_xlpm.coverage,VALUE(SUBSTITUTE(SUBSTITUTE($S39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39" s="80">
        <f t="array" ref="AJ39">IFERROR(_xlfn.LET(_xlpm.rate,INDEX(CICA!$B$2:$C$42,MATCH($AE39,CICA!$A$2:$A$42,0),IF(LOWER(TRIM($F39))="male",1,2)),_xlpm.coverage,VALUE(SUBSTITUTE(SUBSTITUTE($S39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39" s="80">
        <f t="array" ref="AK39">IFERROR(_xlfn.LET(_xlpm.rate,INDEX('CICA-GI'!$B$2:$C$47,MATCH($AE39,'CICA-GI'!$A$2:$A$47,0),IF(LOWER(TRIM($F39))="male",1,2)),_xlpm.coverage,VALUE(SUBSTITUTE(SUBSTITUTE($S39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39" s="80">
        <f t="array" ref="AL39">IFERROR(_xlfn.LET(_xlpm.rate,INDEX(gtl!$B$2:$C$52,MATCH($AE39,gtl!$A$2:$A$52,0),IF(LOWER(TRIM($F39))="male",1,2)),_xlpm.coverage,VALUE(SUBSTITUTE(SUBSTITUTE($S39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39" s="80">
        <f t="array" ref="AM39">IFERROR(_xlfn.LET(_xlpm.rate,INDEX(TransAmerica!$B$2:$E$69,MATCH($AE39,TransAmerica!$A$2:$A$69,0),IF(LOWER(TRIM($F39))="male",IF(LOWER(TRIM($K39))="yes",2,1),IF(LOWER(TRIM($K39))="yes",4,3))),_xlpm.coverage,VALUE(SUBSTITUTE(SUBSTITUTE($S39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39" s="80">
        <f t="array" ref="AN39">IFERROR(_xlfn.LET(_xlpm.rate,INDEX('TransAmerica Graded'!$B$2:$E$64,MATCH($AE39,'TransAmerica Graded'!$A$2:$A$64,0),IF(LOWER(TRIM($F39))="male",IF(LOWER(TRIM($K39))="yes",2,1),IF(LOWER(TRIM($K39))="yes",4,3))),_xlpm.coverage,VALUE(SUBSTITUTE(SUBSTITUTE($S39,"$",""),",","")),_xlpm.base,_xlpm.rate*(_xlpm.coverage/1000),_xlpm.fee,_xlfn.XLOOKUP("TransAmerica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39" s="80">
        <f t="array" ref="AO39">IFERROR(_xlfn.LET(_xlpm.rate,INDEX(Corebridge!$B$2:$C$32,MATCH($AE39,Corebridge!$A$2:$A$32,0),IF(LOWER(TRIM($F39))="male",1,2)),_xlpm.coverage,VALUE(SUBSTITUTE(SUBSTITUTE($S39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39" s="80">
        <f t="array" ref="AP39">IFERROR(_xlfn.LET(_xlpm.rate,INDEX(amam!$B$2:$E$37,MATCH($AE39,amam!$A$2:$A$37,0),IF(LOWER(TRIM($F39))="male",IF(LOWER(TRIM($K39))="yes",2,1),IF(LOWER(TRIM($K39))="yes",4,3))),_xlpm.coverage,VALUE(SUBSTITUTE(SUBSTITUTE($S39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39" s="80">
        <f t="array" ref="AQ39">IFERROR(_xlfn.LET(_xlpm.rate,INDEX('amam-graded'!$B$2:$E$37,MATCH($AE39,'amam-graded'!$A$2:$A$37,0),IF(LOWER(TRIM($F39))="male",IF(LOWER(TRIM($K39))="yes",2,1),IF(LOWER(TRIM($K39))="yes",4,3))),_xlpm.coverage,VALUE(SUBSTITUTE(SUBSTITUTE($S39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39" s="80">
        <f t="array" ref="AR39">IFERROR(_xlfn.LET(_xlpm.rate,INDEX('amam-return-or-premium'!$B$2:$E$37,MATCH($AE39,'amam-return-or-premium'!$A$2:$A$37,0),IF(LOWER(TRIM($F39))="male",IF(LOWER(TRIM($K39))="yes",2,1),IF(LOWER(TRIM($K39))="yes",4,3))),_xlpm.coverage,VALUE(SUBSTITUTE(SUBSTITUTE($S39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39" s="80">
        <f t="array" ref="AS39">IFERROR(_xlfn.LET(_xlpm.rate,INDEX(AHL!$B$2:$E$37,MATCH($AE39,AHL!$A$2:$A$37,0),IF(LOWER(TRIM($F39))="male",IF(LOWER(TRIM($K39))="yes",2,1),IF(LOWER(TRIM($K39))="yes",4,3))),_xlpm.coverage,VALUE(SUBSTITUTE(SUBSTITUTE($S39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39" s="80">
        <f t="array" ref="AT39">IFERROR(_xlfn.LET(_xlpm.rate,INDEX('AHL-Graded'!$B$2:$E$32,MATCH($AE39,'AHL-Graded'!$A$2:$A$32,0),IF(LOWER(TRIM($F39))="male",IF(LOWER(TRIM($K39))="yes",2,1),IF(LOWER(TRIM($K39))="yes",4,3))),_xlpm.coverage,VALUE(SUBSTITUTE(SUBSTITUTE($S39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39" s="80">
        <f t="array" ref="AU39">IFERROR(_xlfn.LET(_xlpm.rate,INDEX('Royal Neighbors'!$B$2:$E$37,MATCH($AE39,'Royal Neighbors'!$A$2:$A$37,0),IF(LOWER(TRIM($F39))="male",IF(LOWER(TRIM($K39))="yes",2,1),IF(LOWER(TRIM($K39))="yes",4,3))),_xlpm.coverage,VALUE(SUBSTITUTE(SUBSTITUTE($S39,"$",""),",","")),_xlpm.base,_xlpm.rate*(_xlpm.coverage/1000),_xlpm.fee,_xlfn.XLOOKUP("Royal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39" s="80">
        <f t="array" ref="AV39">IFERROR(_xlfn.LET(_xlpm.rate,INDEX('Royal Neighbors-Graded'!$B$2:$E$37,MATCH($AE39,'Royal Neighbors-Graded'!$A$2:$A$37,0),IF(LOWER(TRIM($F39))="male",IF(LOWER(TRIM($K39))="yes",2,1),IF(LOWER(TRIM($K39))="yes",4,3))),_xlpm.coverage,VALUE(SUBSTITUTE(SUBSTITUTE($S39,"$",""),",","")),_xlpm.base,_xlpm.rate*(_xlpm.coverage/1000),_xlpm.fee,_xlfn.XLOOKUP("Royal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39" s="80">
        <f t="array" ref="AW39">IFERROR(_xlfn.LET(_xlpm.rate,INDEX('Gerber-GI'!$B$2:$C$32,MATCH($AE39,'Gerber-GI'!$A$2:$A$32,0),IF(LOWER(TRIM($F39))="male",1,2)),_xlpm.coverage,VALUE(SUBSTITUTE(SUBSTITUTE($S39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39" s="80">
        <f t="array" ref="AX39">IFERROR(_xlfn.LET(_xlpm.rate,INDEX('Mutual of Omaha'!$B$2:$E$42,MATCH($AE39,'Mutual of Omaha'!$A$2:$A$42,0),IF(LOWER(TRIM($F39))="male",IF(LOWER(TRIM($K39))="yes",2,1),IF(LOWER(TRIM($K39))="yes",4,3))),_xlpm.coverage,VALUE(SUBSTITUTE(SUBSTITUTE($S39,"$",""),",","")),_xlpm.base,_xlpm.rate*(_xlpm.coverage/1000),_xlpm.fee,_xlfn.XLOOKUP("Mutal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39" s="80">
        <f t="array" ref="AY39">IFERROR(_xlfn.LET(_xlpm.rate,INDEX('Mutual of Omaha-Graded'!$B$2:$E$37,MATCH($AE39,'Mutual of Omaha-Graded'!$A$2:$A$37,0),IF(LOWER(TRIM($F39))="male",IF(LOWER(TRIM($K39))="yes",2,1),IF(LOWER(TRIM($K39))="yes",4,3))),_xlpm.coverage,VALUE(SUBSTITUTE(SUBSTITUTE($S39,"$",""),",","")),_xlpm.base,_xlpm.rate*(_xlpm.coverage/1000),_xlpm.fee,_xlfn.XLOOKUP("Mutual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39" s="80">
        <f>AP39</f>
        <v/>
      </c>
      <c r="BA39" s="80">
        <f>IFERROR(IF(AND(AP39&gt;0,AP39&lt;VALUE(SUBSTITUTE(SUBSTITUTE($T39,"$",""),",",""))),VALUE(SUBSTITUTE(SUBSTITUTE($T39,"$",""),",",""))-AP39,""),"")</f>
        <v/>
      </c>
      <c r="BB39" s="80">
        <f>AL39</f>
        <v/>
      </c>
      <c r="BC39" s="80">
        <f>IFERROR(IF(AND(AL39&gt;0,AL39&lt;VALUE(SUBSTITUTE(SUBSTITUTE($T39,"$",""),",",""))),VALUE(SUBSTITUTE(SUBSTITUTE($T39,"$",""),",",""))-AL39,""),"")</f>
        <v/>
      </c>
      <c r="BD39">
        <f t="array" ref="BD39">IFERROR(_xlfn.LET(_xlpm.current,VALUE(SUBSTITUTE(SUBSTITUTE($T39,"$",""),",","")),_xlpm.quotes,AF39:AY39,_xlpm.lowest,_xlfn.MINIFS(_xlpm.quotes,_xlpm.quotes,"&lt;"&amp;_xlpm.current,_xlpm.quotes,"&gt;0"),IF(_xlpm.lowest="","",SUBSTITUTE(INDEX($AF$1:$AY$1,1,MATCH(_xlpm.lowest,_xlpm.quotes,0))," Monthly Quote",""))),"")</f>
        <v/>
      </c>
      <c r="BE39" s="80">
        <f t="array" ref="BE39">IFERROR(_xlfn.LET(_xlpm.current,VALUE(SUBSTITUTE(SUBSTITUTE($T39,"$",""),",","")),_xlpm.quotes,AF39:AY39,_xlpm.lowest,_xlfn.MINIFS(_xlpm.quotes,_xlpm.quotes,"&lt;"&amp;_xlpm.current,_xlpm.quotes,"&gt;0"),IF(_xlpm.lowest="","",_xlpm.current-_xlpm.lowest)),"")</f>
        <v/>
      </c>
    </row>
    <row r="40">
      <c r="A40" s="67" t="inlineStr">
        <is>
          <t>Leah Karen</t>
        </is>
      </c>
      <c r="B40" s="67" t="inlineStr">
        <is>
          <t>Bennett</t>
        </is>
      </c>
      <c r="C40" s="68" t="n">
        <v>5098393908</v>
      </c>
      <c r="D40" s="68" t="n">
        <v>84</v>
      </c>
      <c r="E40" s="69" t="n">
        <v>15224</v>
      </c>
      <c r="F40" s="67" t="inlineStr">
        <is>
          <t>Female</t>
        </is>
      </c>
      <c r="G40" s="67" t="inlineStr">
        <is>
          <t>109 W Edison Ave Sunnyside, WA 98944</t>
        </is>
      </c>
      <c r="H40" s="67" t="inlineStr">
        <is>
          <t>WA</t>
        </is>
      </c>
      <c r="I40" s="68" t="n">
        <v>5.4</v>
      </c>
      <c r="J40" s="68" t="n">
        <v>175</v>
      </c>
      <c r="K40" s="67" t="inlineStr">
        <is>
          <t>No</t>
        </is>
      </c>
      <c r="L40" s="67" t="n"/>
      <c r="M40" s="67" t="inlineStr">
        <is>
          <t>cremation</t>
        </is>
      </c>
      <c r="N40" s="67" t="inlineStr">
        <is>
          <t>(Curtis A Bennett - 09 10 1966)</t>
        </is>
      </c>
      <c r="O40" s="67" t="inlineStr">
        <is>
          <t>Son</t>
        </is>
      </c>
      <c r="P40" s="67" t="n"/>
      <c r="Q40" s="67" t="n"/>
      <c r="R40" s="67" t="inlineStr">
        <is>
          <t>Moo</t>
        </is>
      </c>
      <c r="S40" s="70" t="n">
        <v>3000</v>
      </c>
      <c r="T40" s="71" t="n">
        <v>40.81</v>
      </c>
      <c r="U40" s="69" t="n">
        <v>45994</v>
      </c>
      <c r="V40" s="69" t="n">
        <v>46025</v>
      </c>
      <c r="W40" s="68" t="n">
        <v>536447232</v>
      </c>
      <c r="X40" s="67" t="inlineStr">
        <is>
          <t>No</t>
        </is>
      </c>
      <c r="Y40" s="67" t="inlineStr">
        <is>
          <t>YAKIMA FEDERAL SAVINGS &amp; LOAN ASSN</t>
        </is>
      </c>
      <c r="Z40" s="68" t="n">
        <v>325171122</v>
      </c>
      <c r="AA40" s="68" t="n">
        <v>410079987</v>
      </c>
      <c r="AB40" s="67" t="inlineStr">
        <is>
          <t>no</t>
        </is>
      </c>
      <c r="AC40" s="67" t="inlineStr">
        <is>
          <t>no</t>
        </is>
      </c>
      <c r="AD40" s="67" t="inlineStr">
        <is>
          <t>no</t>
        </is>
      </c>
      <c r="AE40" s="68" t="n">
        <v>84</v>
      </c>
      <c r="AF40" s="80">
        <f t="array" ref="AF40">IFERROR(_xlfn.LET(_xlpm.rate,INDEX(aflac!$B$2:$E$37,MATCH($AE40,aflac!$A$2:$A$37,0),IF(LOWER(TRIM($F40))="male",IF(LOWER(TRIM($K40))="yes",2,1),IF(LOWER(TRIM($K40))="yes",4,3))),_xlpm.coverage,VALUE(SUBSTITUTE(SUBSTITUTE($S40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0" s="80">
        <f t="array" ref="AG40">IFERROR(_xlfn.LET(_xlpm.rate,INDEX('aflac-modified'!$B$2:$C$32,MATCH($AE40,'aflac-modified'!$A$2:$A$32,0),IF(LOWER(TRIM($F40))="male",1,2)),_xlpm.coverage,VALUE(SUBSTITUTE(SUBSTITUTE($S40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0" s="80">
        <f t="array" ref="AH40">IFERROR(_xlfn.LET(_xlpm.rate,INDEX(SBLI!$B$2:$E$37,MATCH($AE40,SBLI!$A$2:$A$37,0),IF(LOWER(TRIM($F40))="male",IF(LOWER(TRIM($K40))="yes",2,1),IF(LOWER(TRIM($K40))="yes",4,3))),_xlpm.coverage,VALUE(SUBSTITUTE(SUBSTITUTE($S40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0" s="80">
        <f t="array" ref="AI40">IFERROR(_xlfn.LET(_xlpm.rate,INDEX('SBLI-Modified'!$B$2:$E$27,MATCH($AE40,'SBLI-Modified'!$A$2:$A$27,0),IF(LOWER(TRIM($F40))="male",IF(LOWER(TRIM($K40))="yes",2,1),IF(LOWER(TRIM($K40))="yes",4,3))),_xlpm.coverage,VALUE(SUBSTITUTE(SUBSTITUTE($S40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0" s="80">
        <f t="array" ref="AJ40">IFERROR(_xlfn.LET(_xlpm.rate,INDEX(CICA!$B$2:$C$42,MATCH($AE40,CICA!$A$2:$A$42,0),IF(LOWER(TRIM($F40))="male",1,2)),_xlpm.coverage,VALUE(SUBSTITUTE(SUBSTITUTE($S40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0" s="80">
        <f t="array" ref="AK40">IFERROR(_xlfn.LET(_xlpm.rate,INDEX('CICA-GI'!$B$2:$C$47,MATCH($AE40,'CICA-GI'!$A$2:$A$47,0),IF(LOWER(TRIM($F40))="male",1,2)),_xlpm.coverage,VALUE(SUBSTITUTE(SUBSTITUTE($S40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0" s="80">
        <f t="array" ref="AL40">IFERROR(_xlfn.LET(_xlpm.rate,INDEX(gtl!$B$2:$C$52,MATCH($AE40,gtl!$A$2:$A$52,0),IF(LOWER(TRIM($F40))="male",1,2)),_xlpm.coverage,VALUE(SUBSTITUTE(SUBSTITUTE($S40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0" s="80">
        <f t="array" ref="AM40">IFERROR(_xlfn.LET(_xlpm.rate,INDEX(TransAmerica!$B$2:$E$69,MATCH($AE40,TransAmerica!$A$2:$A$69,0),IF(LOWER(TRIM($F40))="male",IF(LOWER(TRIM($K40))="yes",2,1),IF(LOWER(TRIM($K40))="yes",4,3))),_xlpm.coverage,VALUE(SUBSTITUTE(SUBSTITUTE($S40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0" s="80">
        <f t="array" ref="AN40">IFERROR(_xlfn.LET(_xlpm.rate,INDEX('TransAmerica Graded'!$B$2:$E$64,MATCH($AE40,'TransAmerica Graded'!$A$2:$A$64,0),IF(LOWER(TRIM($F40))="male",IF(LOWER(TRIM($K40))="yes",2,1),IF(LOWER(TRIM($K40))="yes",4,3))),_xlpm.coverage,VALUE(SUBSTITUTE(SUBSTITUTE($S40,"$",""),",","")),_xlpm.base,_xlpm.rate*(_xlpm.coverage/1000),_xlpm.fee,_xlfn.XLOOKUP("TransAmerica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0" s="80">
        <f t="array" ref="AO40">IFERROR(_xlfn.LET(_xlpm.rate,INDEX(Corebridge!$B$2:$C$32,MATCH($AE40,Corebridge!$A$2:$A$32,0),IF(LOWER(TRIM($F40))="male",1,2)),_xlpm.coverage,VALUE(SUBSTITUTE(SUBSTITUTE($S40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0" s="80">
        <f t="array" ref="AP40">IFERROR(_xlfn.LET(_xlpm.rate,INDEX(amam!$B$2:$E$37,MATCH($AE40,amam!$A$2:$A$37,0),IF(LOWER(TRIM($F40))="male",IF(LOWER(TRIM($K40))="yes",2,1),IF(LOWER(TRIM($K40))="yes",4,3))),_xlpm.coverage,VALUE(SUBSTITUTE(SUBSTITUTE($S40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0" s="80">
        <f t="array" ref="AQ40">IFERROR(_xlfn.LET(_xlpm.rate,INDEX('amam-graded'!$B$2:$E$37,MATCH($AE40,'amam-graded'!$A$2:$A$37,0),IF(LOWER(TRIM($F40))="male",IF(LOWER(TRIM($K40))="yes",2,1),IF(LOWER(TRIM($K40))="yes",4,3))),_xlpm.coverage,VALUE(SUBSTITUTE(SUBSTITUTE($S40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0" s="80">
        <f t="array" ref="AR40">IFERROR(_xlfn.LET(_xlpm.rate,INDEX('amam-return-or-premium'!$B$2:$E$37,MATCH($AE40,'amam-return-or-premium'!$A$2:$A$37,0),IF(LOWER(TRIM($F40))="male",IF(LOWER(TRIM($K40))="yes",2,1),IF(LOWER(TRIM($K40))="yes",4,3))),_xlpm.coverage,VALUE(SUBSTITUTE(SUBSTITUTE($S40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0" s="80">
        <f t="array" ref="AS40">IFERROR(_xlfn.LET(_xlpm.rate,INDEX(AHL!$B$2:$E$37,MATCH($AE40,AHL!$A$2:$A$37,0),IF(LOWER(TRIM($F40))="male",IF(LOWER(TRIM($K40))="yes",2,1),IF(LOWER(TRIM($K40))="yes",4,3))),_xlpm.coverage,VALUE(SUBSTITUTE(SUBSTITUTE($S40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0" s="80">
        <f t="array" ref="AT40">IFERROR(_xlfn.LET(_xlpm.rate,INDEX('AHL-Graded'!$B$2:$E$32,MATCH($AE40,'AHL-Graded'!$A$2:$A$32,0),IF(LOWER(TRIM($F40))="male",IF(LOWER(TRIM($K40))="yes",2,1),IF(LOWER(TRIM($K40))="yes",4,3))),_xlpm.coverage,VALUE(SUBSTITUTE(SUBSTITUTE($S40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0" s="80">
        <f t="array" ref="AU40">IFERROR(_xlfn.LET(_xlpm.rate,INDEX('Royal Neighbors'!$B$2:$E$37,MATCH($AE40,'Royal Neighbors'!$A$2:$A$37,0),IF(LOWER(TRIM($F40))="male",IF(LOWER(TRIM($K40))="yes",2,1),IF(LOWER(TRIM($K40))="yes",4,3))),_xlpm.coverage,VALUE(SUBSTITUTE(SUBSTITUTE($S40,"$",""),",","")),_xlpm.base,_xlpm.rate*(_xlpm.coverage/1000),_xlpm.fee,_xlfn.XLOOKUP("Royal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0" s="80">
        <f t="array" ref="AV40">IFERROR(_xlfn.LET(_xlpm.rate,INDEX('Royal Neighbors-Graded'!$B$2:$E$37,MATCH($AE40,'Royal Neighbors-Graded'!$A$2:$A$37,0),IF(LOWER(TRIM($F40))="male",IF(LOWER(TRIM($K40))="yes",2,1),IF(LOWER(TRIM($K40))="yes",4,3))),_xlpm.coverage,VALUE(SUBSTITUTE(SUBSTITUTE($S40,"$",""),",","")),_xlpm.base,_xlpm.rate*(_xlpm.coverage/1000),_xlpm.fee,_xlfn.XLOOKUP("Royal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0" s="80">
        <f t="array" ref="AW40">IFERROR(_xlfn.LET(_xlpm.rate,INDEX('Gerber-GI'!$B$2:$C$32,MATCH($AE40,'Gerber-GI'!$A$2:$A$32,0),IF(LOWER(TRIM($F40))="male",1,2)),_xlpm.coverage,VALUE(SUBSTITUTE(SUBSTITUTE($S40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0" s="80">
        <f t="array" ref="AX40">IFERROR(_xlfn.LET(_xlpm.rate,INDEX('Mutual of Omaha'!$B$2:$E$42,MATCH($AE40,'Mutual of Omaha'!$A$2:$A$42,0),IF(LOWER(TRIM($F40))="male",IF(LOWER(TRIM($K40))="yes",2,1),IF(LOWER(TRIM($K40))="yes",4,3))),_xlpm.coverage,VALUE(SUBSTITUTE(SUBSTITUTE($S40,"$",""),",","")),_xlpm.base,_xlpm.rate*(_xlpm.coverage/1000),_xlpm.fee,_xlfn.XLOOKUP("Mutal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0" s="80">
        <f t="array" ref="AY40">IFERROR(_xlfn.LET(_xlpm.rate,INDEX('Mutual of Omaha-Graded'!$B$2:$E$37,MATCH($AE40,'Mutual of Omaha-Graded'!$A$2:$A$37,0),IF(LOWER(TRIM($F40))="male",IF(LOWER(TRIM($K40))="yes",2,1),IF(LOWER(TRIM($K40))="yes",4,3))),_xlpm.coverage,VALUE(SUBSTITUTE(SUBSTITUTE($S40,"$",""),",","")),_xlpm.base,_xlpm.rate*(_xlpm.coverage/1000),_xlpm.fee,_xlfn.XLOOKUP("Mutual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0" s="80">
        <f>AP40</f>
        <v/>
      </c>
      <c r="BA40" s="80">
        <f>IFERROR(IF(AND(AP40&gt;0,AP40&lt;VALUE(SUBSTITUTE(SUBSTITUTE($T40,"$",""),",",""))),VALUE(SUBSTITUTE(SUBSTITUTE($T40,"$",""),",",""))-AP40,""),"")</f>
        <v/>
      </c>
      <c r="BB40" s="80">
        <f>AL40</f>
        <v/>
      </c>
      <c r="BC40" s="80">
        <f>IFERROR(IF(AND(AL40&gt;0,AL40&lt;VALUE(SUBSTITUTE(SUBSTITUTE($T40,"$",""),",",""))),VALUE(SUBSTITUTE(SUBSTITUTE($T40,"$",""),",",""))-AL40,""),"")</f>
        <v/>
      </c>
      <c r="BD40">
        <f t="array" ref="BD40">IFERROR(_xlfn.LET(_xlpm.current,VALUE(SUBSTITUTE(SUBSTITUTE($T40,"$",""),",","")),_xlpm.quotes,AF40:AY40,_xlpm.lowest,_xlfn.MINIFS(_xlpm.quotes,_xlpm.quotes,"&lt;"&amp;_xlpm.current,_xlpm.quotes,"&gt;0"),IF(_xlpm.lowest="","",SUBSTITUTE(INDEX($AF$1:$AY$1,1,MATCH(_xlpm.lowest,_xlpm.quotes,0))," Monthly Quote",""))),"")</f>
        <v/>
      </c>
      <c r="BE40" s="80">
        <f t="array" ref="BE40">IFERROR(_xlfn.LET(_xlpm.current,VALUE(SUBSTITUTE(SUBSTITUTE($T40,"$",""),",","")),_xlpm.quotes,AF40:AY40,_xlpm.lowest,_xlfn.MINIFS(_xlpm.quotes,_xlpm.quotes,"&lt;"&amp;_xlpm.current,_xlpm.quotes,"&gt;0"),IF(_xlpm.lowest="","",_xlpm.current-_xlpm.lowest)),"")</f>
        <v/>
      </c>
    </row>
    <row r="41">
      <c r="A41" s="67" t="inlineStr">
        <is>
          <t>George C</t>
        </is>
      </c>
      <c r="B41" s="67" t="inlineStr">
        <is>
          <t>Sanders</t>
        </is>
      </c>
      <c r="C41" s="68" t="n">
        <v>4482130605</v>
      </c>
      <c r="D41" s="68" t="n">
        <v>72</v>
      </c>
      <c r="E41" s="69" t="n">
        <v>19542</v>
      </c>
      <c r="F41" s="67" t="inlineStr">
        <is>
          <t>Male</t>
        </is>
      </c>
      <c r="G41" s="67" t="inlineStr">
        <is>
          <t>1510 Crown Ridge Rd, Tallahassee, FL 32305</t>
        </is>
      </c>
      <c r="H41" s="67" t="inlineStr">
        <is>
          <t>FL</t>
        </is>
      </c>
      <c r="I41" s="68" t="n">
        <v>6</v>
      </c>
      <c r="J41" s="68" t="n">
        <v>210</v>
      </c>
      <c r="K41" s="67" t="inlineStr">
        <is>
          <t>No</t>
        </is>
      </c>
      <c r="L41" s="67" t="n"/>
      <c r="M41" s="67" t="inlineStr">
        <is>
          <t>Burial</t>
        </is>
      </c>
      <c r="N41" s="67" t="inlineStr">
        <is>
          <t>(Emma Richardson - 86)</t>
        </is>
      </c>
      <c r="O41" s="67" t="inlineStr">
        <is>
          <t>Aunt</t>
        </is>
      </c>
      <c r="P41" s="67" t="n"/>
      <c r="Q41" s="67" t="n"/>
      <c r="R41" s="67" t="inlineStr">
        <is>
          <t>MOO</t>
        </is>
      </c>
      <c r="S41" s="70" t="n">
        <v>10000</v>
      </c>
      <c r="T41" s="71" t="n">
        <v>83.98999999999999</v>
      </c>
      <c r="U41" s="69" t="n">
        <v>46000</v>
      </c>
      <c r="V41" s="69" t="n">
        <v>45666</v>
      </c>
      <c r="W41" s="68" t="n">
        <v>263723473</v>
      </c>
      <c r="X41" s="67" t="inlineStr">
        <is>
          <t>no</t>
        </is>
      </c>
      <c r="Y41" s="67" t="inlineStr">
        <is>
          <t>Envision Credit Union</t>
        </is>
      </c>
      <c r="Z41" s="68" t="n">
        <v>263177686</v>
      </c>
      <c r="AA41" s="68" t="n">
        <v>217078</v>
      </c>
      <c r="AB41" s="67" t="inlineStr">
        <is>
          <t>HBP Cholesterol Pain Diabetes</t>
        </is>
      </c>
      <c r="AC41" s="67" t="inlineStr">
        <is>
          <t>5 Pills</t>
        </is>
      </c>
      <c r="AD41" s="67" t="inlineStr">
        <is>
          <t>no</t>
        </is>
      </c>
      <c r="AE41" s="68" t="n">
        <v>72</v>
      </c>
      <c r="AF41" s="80">
        <f t="array" ref="AF41">IFERROR(_xlfn.LET(_xlpm.rate,INDEX(aflac!$B$2:$E$37,MATCH($AE41,aflac!$A$2:$A$37,0),IF(LOWER(TRIM($F41))="male",IF(LOWER(TRIM($K41))="yes",2,1),IF(LOWER(TRIM($K41))="yes",4,3))),_xlpm.coverage,VALUE(SUBSTITUTE(SUBSTITUTE($S41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1" s="80">
        <f t="array" ref="AG41">IFERROR(_xlfn.LET(_xlpm.rate,INDEX('aflac-modified'!$B$2:$C$32,MATCH($AE41,'aflac-modified'!$A$2:$A$32,0),IF(LOWER(TRIM($F41))="male",1,2)),_xlpm.coverage,VALUE(SUBSTITUTE(SUBSTITUTE($S41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1" s="80">
        <f t="array" ref="AH41">IFERROR(_xlfn.LET(_xlpm.rate,INDEX(SBLI!$B$2:$E$37,MATCH($AE41,SBLI!$A$2:$A$37,0),IF(LOWER(TRIM($F41))="male",IF(LOWER(TRIM($K41))="yes",2,1),IF(LOWER(TRIM($K41))="yes",4,3))),_xlpm.coverage,VALUE(SUBSTITUTE(SUBSTITUTE($S41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1" s="80">
        <f t="array" ref="AI41">IFERROR(_xlfn.LET(_xlpm.rate,INDEX('SBLI-Modified'!$B$2:$E$27,MATCH($AE41,'SBLI-Modified'!$A$2:$A$27,0),IF(LOWER(TRIM($F41))="male",IF(LOWER(TRIM($K41))="yes",2,1),IF(LOWER(TRIM($K41))="yes",4,3))),_xlpm.coverage,VALUE(SUBSTITUTE(SUBSTITUTE($S41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1" s="80">
        <f t="array" ref="AJ41">IFERROR(_xlfn.LET(_xlpm.rate,INDEX(CICA!$B$2:$C$42,MATCH($AE41,CICA!$A$2:$A$42,0),IF(LOWER(TRIM($F41))="male",1,2)),_xlpm.coverage,VALUE(SUBSTITUTE(SUBSTITUTE($S41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1" s="80">
        <f t="array" ref="AK41">IFERROR(_xlfn.LET(_xlpm.rate,INDEX('CICA-GI'!$B$2:$C$47,MATCH($AE41,'CICA-GI'!$A$2:$A$47,0),IF(LOWER(TRIM($F41))="male",1,2)),_xlpm.coverage,VALUE(SUBSTITUTE(SUBSTITUTE($S41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1" s="80">
        <f t="array" ref="AL41">IFERROR(_xlfn.LET(_xlpm.rate,INDEX(gtl!$B$2:$C$52,MATCH($AE41,gtl!$A$2:$A$52,0),IF(LOWER(TRIM($F41))="male",1,2)),_xlpm.coverage,VALUE(SUBSTITUTE(SUBSTITUTE($S41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1" s="80">
        <f t="array" ref="AM41">IFERROR(_xlfn.LET(_xlpm.rate,INDEX(TransAmerica!$B$2:$E$69,MATCH($AE41,TransAmerica!$A$2:$A$69,0),IF(LOWER(TRIM($F41))="male",IF(LOWER(TRIM($K41))="yes",2,1),IF(LOWER(TRIM($K41))="yes",4,3))),_xlpm.coverage,VALUE(SUBSTITUTE(SUBSTITUTE($S41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1" s="80">
        <f t="array" ref="AN41">IFERROR(_xlfn.LET(_xlpm.rate,INDEX('TransAmerica Graded'!$B$2:$E$64,MATCH($AE41,'TransAmerica Graded'!$A$2:$A$64,0),IF(LOWER(TRIM($F41))="male",IF(LOWER(TRIM($K41))="yes",2,1),IF(LOWER(TRIM($K41))="yes",4,3))),_xlpm.coverage,VALUE(SUBSTITUTE(SUBSTITUTE($S41,"$",""),",","")),_xlpm.base,_xlpm.rate*(_xlpm.coverage/1000),_xlpm.fee,_xlfn.XLOOKUP("TransAmerica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1" s="80">
        <f t="array" ref="AO41">IFERROR(_xlfn.LET(_xlpm.rate,INDEX(Corebridge!$B$2:$C$32,MATCH($AE41,Corebridge!$A$2:$A$32,0),IF(LOWER(TRIM($F41))="male",1,2)),_xlpm.coverage,VALUE(SUBSTITUTE(SUBSTITUTE($S41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1" s="80">
        <f t="array" ref="AP41">IFERROR(_xlfn.LET(_xlpm.rate,INDEX(amam!$B$2:$E$37,MATCH($AE41,amam!$A$2:$A$37,0),IF(LOWER(TRIM($F41))="male",IF(LOWER(TRIM($K41))="yes",2,1),IF(LOWER(TRIM($K41))="yes",4,3))),_xlpm.coverage,VALUE(SUBSTITUTE(SUBSTITUTE($S41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1" s="80">
        <f t="array" ref="AQ41">IFERROR(_xlfn.LET(_xlpm.rate,INDEX('amam-graded'!$B$2:$E$37,MATCH($AE41,'amam-graded'!$A$2:$A$37,0),IF(LOWER(TRIM($F41))="male",IF(LOWER(TRIM($K41))="yes",2,1),IF(LOWER(TRIM($K41))="yes",4,3))),_xlpm.coverage,VALUE(SUBSTITUTE(SUBSTITUTE($S41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1" s="80">
        <f t="array" ref="AR41">IFERROR(_xlfn.LET(_xlpm.rate,INDEX('amam-return-or-premium'!$B$2:$E$37,MATCH($AE41,'amam-return-or-premium'!$A$2:$A$37,0),IF(LOWER(TRIM($F41))="male",IF(LOWER(TRIM($K41))="yes",2,1),IF(LOWER(TRIM($K41))="yes",4,3))),_xlpm.coverage,VALUE(SUBSTITUTE(SUBSTITUTE($S41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1" s="80">
        <f t="array" ref="AS41">IFERROR(_xlfn.LET(_xlpm.rate,INDEX(AHL!$B$2:$E$37,MATCH($AE41,AHL!$A$2:$A$37,0),IF(LOWER(TRIM($F41))="male",IF(LOWER(TRIM($K41))="yes",2,1),IF(LOWER(TRIM($K41))="yes",4,3))),_xlpm.coverage,VALUE(SUBSTITUTE(SUBSTITUTE($S41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1" s="80">
        <f t="array" ref="AT41">IFERROR(_xlfn.LET(_xlpm.rate,INDEX('AHL-Graded'!$B$2:$E$32,MATCH($AE41,'AHL-Graded'!$A$2:$A$32,0),IF(LOWER(TRIM($F41))="male",IF(LOWER(TRIM($K41))="yes",2,1),IF(LOWER(TRIM($K41))="yes",4,3))),_xlpm.coverage,VALUE(SUBSTITUTE(SUBSTITUTE($S41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1" s="80">
        <f t="array" ref="AU41">IFERROR(_xlfn.LET(_xlpm.rate,INDEX('Royal Neighbors'!$B$2:$E$37,MATCH($AE41,'Royal Neighbors'!$A$2:$A$37,0),IF(LOWER(TRIM($F41))="male",IF(LOWER(TRIM($K41))="yes",2,1),IF(LOWER(TRIM($K41))="yes",4,3))),_xlpm.coverage,VALUE(SUBSTITUTE(SUBSTITUTE($S41,"$",""),",","")),_xlpm.base,_xlpm.rate*(_xlpm.coverage/1000),_xlpm.fee,_xlfn.XLOOKUP("Royal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1" s="80">
        <f t="array" ref="AV41">IFERROR(_xlfn.LET(_xlpm.rate,INDEX('Royal Neighbors-Graded'!$B$2:$E$37,MATCH($AE41,'Royal Neighbors-Graded'!$A$2:$A$37,0),IF(LOWER(TRIM($F41))="male",IF(LOWER(TRIM($K41))="yes",2,1),IF(LOWER(TRIM($K41))="yes",4,3))),_xlpm.coverage,VALUE(SUBSTITUTE(SUBSTITUTE($S41,"$",""),",","")),_xlpm.base,_xlpm.rate*(_xlpm.coverage/1000),_xlpm.fee,_xlfn.XLOOKUP("Royal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1" s="80">
        <f t="array" ref="AW41">IFERROR(_xlfn.LET(_xlpm.rate,INDEX('Gerber-GI'!$B$2:$C$32,MATCH($AE41,'Gerber-GI'!$A$2:$A$32,0),IF(LOWER(TRIM($F41))="male",1,2)),_xlpm.coverage,VALUE(SUBSTITUTE(SUBSTITUTE($S41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1" s="80">
        <f t="array" ref="AX41">IFERROR(_xlfn.LET(_xlpm.rate,INDEX('Mutual of Omaha'!$B$2:$E$42,MATCH($AE41,'Mutual of Omaha'!$A$2:$A$42,0),IF(LOWER(TRIM($F41))="male",IF(LOWER(TRIM($K41))="yes",2,1),IF(LOWER(TRIM($K41))="yes",4,3))),_xlpm.coverage,VALUE(SUBSTITUTE(SUBSTITUTE($S41,"$",""),",","")),_xlpm.base,_xlpm.rate*(_xlpm.coverage/1000),_xlpm.fee,_xlfn.XLOOKUP("Mutal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1" s="80">
        <f t="array" ref="AY41">IFERROR(_xlfn.LET(_xlpm.rate,INDEX('Mutual of Omaha-Graded'!$B$2:$E$37,MATCH($AE41,'Mutual of Omaha-Graded'!$A$2:$A$37,0),IF(LOWER(TRIM($F41))="male",IF(LOWER(TRIM($K41))="yes",2,1),IF(LOWER(TRIM($K41))="yes",4,3))),_xlpm.coverage,VALUE(SUBSTITUTE(SUBSTITUTE($S41,"$",""),",","")),_xlpm.base,_xlpm.rate*(_xlpm.coverage/1000),_xlpm.fee,_xlfn.XLOOKUP("Mutual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1" s="80">
        <f>AP41</f>
        <v/>
      </c>
      <c r="BA41" s="80">
        <f>IFERROR(IF(AND(AP41&gt;0,AP41&lt;VALUE(SUBSTITUTE(SUBSTITUTE($T41,"$",""),",",""))),VALUE(SUBSTITUTE(SUBSTITUTE($T41,"$",""),",",""))-AP41,""),"")</f>
        <v/>
      </c>
      <c r="BB41" s="80">
        <f>AL41</f>
        <v/>
      </c>
      <c r="BC41" s="80">
        <f>IFERROR(IF(AND(AL41&gt;0,AL41&lt;VALUE(SUBSTITUTE(SUBSTITUTE($T41,"$",""),",",""))),VALUE(SUBSTITUTE(SUBSTITUTE($T41,"$",""),",",""))-AL41,""),"")</f>
        <v/>
      </c>
      <c r="BD41">
        <f t="array" ref="BD41">IFERROR(_xlfn.LET(_xlpm.current,VALUE(SUBSTITUTE(SUBSTITUTE($T41,"$",""),",","")),_xlpm.quotes,AF41:AY41,_xlpm.lowest,_xlfn.MINIFS(_xlpm.quotes,_xlpm.quotes,"&lt;"&amp;_xlpm.current,_xlpm.quotes,"&gt;0"),IF(_xlpm.lowest="","",SUBSTITUTE(INDEX($AF$1:$AY$1,1,MATCH(_xlpm.lowest,_xlpm.quotes,0))," Monthly Quote",""))),"")</f>
        <v/>
      </c>
      <c r="BE41" s="80">
        <f t="array" ref="BE41">IFERROR(_xlfn.LET(_xlpm.current,VALUE(SUBSTITUTE(SUBSTITUTE($T41,"$",""),",","")),_xlpm.quotes,AF41:AY41,_xlpm.lowest,_xlfn.MINIFS(_xlpm.quotes,_xlpm.quotes,"&lt;"&amp;_xlpm.current,_xlpm.quotes,"&gt;0"),IF(_xlpm.lowest="","",_xlpm.current-_xlpm.lowest)),"")</f>
        <v/>
      </c>
    </row>
    <row r="42">
      <c r="A42" s="63" t="inlineStr">
        <is>
          <t>Arlene D</t>
        </is>
      </c>
      <c r="B42" s="63" t="inlineStr">
        <is>
          <t>Smithsanders</t>
        </is>
      </c>
      <c r="C42" s="64" t="n">
        <v>2257564882</v>
      </c>
      <c r="D42" s="64" t="n">
        <v>75</v>
      </c>
      <c r="E42" s="65" t="n">
        <v>18526</v>
      </c>
      <c r="F42" s="63" t="inlineStr">
        <is>
          <t>Female</t>
        </is>
      </c>
      <c r="G42" s="63" t="inlineStr">
        <is>
          <t>10259 Umbehagen Ln Baton Rouge LA 70817</t>
        </is>
      </c>
      <c r="H42" s="63" t="inlineStr">
        <is>
          <t>LA</t>
        </is>
      </c>
      <c r="I42" s="64" t="n">
        <v>5.4</v>
      </c>
      <c r="J42" s="64" t="n">
        <v>150</v>
      </c>
      <c r="K42" s="63" t="inlineStr">
        <is>
          <t>No</t>
        </is>
      </c>
      <c r="L42" s="63" t="n"/>
      <c r="M42" s="63" t="inlineStr">
        <is>
          <t>Cremation</t>
        </is>
      </c>
      <c r="N42" s="63" t="inlineStr">
        <is>
          <t>Shantell S jones(04 23 1969) ... Candyce S Smith(2 17 1977)</t>
        </is>
      </c>
      <c r="O42" s="63" t="inlineStr">
        <is>
          <t>Daughters</t>
        </is>
      </c>
      <c r="P42" s="63" t="inlineStr">
        <is>
          <t>kristen Smith-Jones(10 01 2001)</t>
        </is>
      </c>
      <c r="Q42" s="63" t="inlineStr">
        <is>
          <t>Grand daughter :</t>
        </is>
      </c>
      <c r="R42" s="63" t="inlineStr">
        <is>
          <t>CICA Life</t>
        </is>
      </c>
      <c r="S42" s="66" t="n">
        <v>5000</v>
      </c>
      <c r="T42" s="76" t="n">
        <v>95.44</v>
      </c>
      <c r="U42" s="65" t="n">
        <v>45973</v>
      </c>
      <c r="V42" s="65" t="n">
        <v>46003</v>
      </c>
      <c r="W42" s="64" t="n">
        <v>439747278</v>
      </c>
      <c r="X42" s="63" t="inlineStr">
        <is>
          <t>No</t>
        </is>
      </c>
      <c r="Y42" s="63" t="inlineStr">
        <is>
          <t>JP MORGAN CHASE BANK</t>
        </is>
      </c>
      <c r="Z42" s="64" t="n">
        <v>65400137</v>
      </c>
      <c r="AA42" s="64" t="n">
        <v>641416466</v>
      </c>
      <c r="AB42" s="63" t="inlineStr">
        <is>
          <t>Diabetic Neuropathy" COPD Dimentia Cetirizine Allergies current</t>
        </is>
      </c>
      <c r="AC42" s="63" t="inlineStr">
        <is>
          <t>Amlodipine High Blood Pressure (Controlled) current Omeprazole GERD (Acid Reflux) current Metformin Diabetic Neuropathy (Nerve) current Gabapentin Diabetic Neuropathy (Nerve) DONEPEZIL</t>
        </is>
      </c>
      <c r="AD42" s="63" t="inlineStr">
        <is>
          <t>No</t>
        </is>
      </c>
      <c r="AE42" s="64" t="n">
        <v>75</v>
      </c>
      <c r="AF42" s="80">
        <f t="array" ref="AF42">IFERROR(_xlfn.LET(_xlpm.rate,INDEX(aflac!$B$2:$E$37,MATCH($AE42,aflac!$A$2:$A$37,0),IF(LOWER(TRIM($F42))="male",IF(LOWER(TRIM($K42))="yes",2,1),IF(LOWER(TRIM($K42))="yes",4,3))),_xlpm.coverage,VALUE(SUBSTITUTE(SUBSTITUTE($S42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2" s="80">
        <f t="array" ref="AG42">IFERROR(_xlfn.LET(_xlpm.rate,INDEX('aflac-modified'!$B$2:$C$32,MATCH($AE42,'aflac-modified'!$A$2:$A$32,0),IF(LOWER(TRIM($F42))="male",1,2)),_xlpm.coverage,VALUE(SUBSTITUTE(SUBSTITUTE($S42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2" s="80">
        <f t="array" ref="AH42">IFERROR(_xlfn.LET(_xlpm.rate,INDEX(SBLI!$B$2:$E$37,MATCH($AE42,SBLI!$A$2:$A$37,0),IF(LOWER(TRIM($F42))="male",IF(LOWER(TRIM($K42))="yes",2,1),IF(LOWER(TRIM($K42))="yes",4,3))),_xlpm.coverage,VALUE(SUBSTITUTE(SUBSTITUTE($S42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2" s="80">
        <f t="array" ref="AI42">IFERROR(_xlfn.LET(_xlpm.rate,INDEX('SBLI-Modified'!$B$2:$E$27,MATCH($AE42,'SBLI-Modified'!$A$2:$A$27,0),IF(LOWER(TRIM($F42))="male",IF(LOWER(TRIM($K42))="yes",2,1),IF(LOWER(TRIM($K42))="yes",4,3))),_xlpm.coverage,VALUE(SUBSTITUTE(SUBSTITUTE($S42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2" s="80">
        <f t="array" ref="AJ42">IFERROR(_xlfn.LET(_xlpm.rate,INDEX(CICA!$B$2:$C$42,MATCH($AE42,CICA!$A$2:$A$42,0),IF(LOWER(TRIM($F42))="male",1,2)),_xlpm.coverage,VALUE(SUBSTITUTE(SUBSTITUTE($S42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2" s="80">
        <f t="array" ref="AK42">IFERROR(_xlfn.LET(_xlpm.rate,INDEX('CICA-GI'!$B$2:$C$47,MATCH($AE42,'CICA-GI'!$A$2:$A$47,0),IF(LOWER(TRIM($F42))="male",1,2)),_xlpm.coverage,VALUE(SUBSTITUTE(SUBSTITUTE($S42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2" s="80">
        <f t="array" ref="AL42">IFERROR(_xlfn.LET(_xlpm.rate,INDEX(gtl!$B$2:$C$52,MATCH($AE42,gtl!$A$2:$A$52,0),IF(LOWER(TRIM($F42))="male",1,2)),_xlpm.coverage,VALUE(SUBSTITUTE(SUBSTITUTE($S42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2" s="80">
        <f t="array" ref="AM42">IFERROR(_xlfn.LET(_xlpm.rate,INDEX(TransAmerica!$B$2:$E$69,MATCH($AE42,TransAmerica!$A$2:$A$69,0),IF(LOWER(TRIM($F42))="male",IF(LOWER(TRIM($K42))="yes",2,1),IF(LOWER(TRIM($K42))="yes",4,3))),_xlpm.coverage,VALUE(SUBSTITUTE(SUBSTITUTE($S42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2" s="80">
        <f t="array" ref="AN42">IFERROR(_xlfn.LET(_xlpm.rate,INDEX('TransAmerica Graded'!$B$2:$E$64,MATCH($AE42,'TransAmerica Graded'!$A$2:$A$64,0),IF(LOWER(TRIM($F42))="male",IF(LOWER(TRIM($K42))="yes",2,1),IF(LOWER(TRIM($K42))="yes",4,3))),_xlpm.coverage,VALUE(SUBSTITUTE(SUBSTITUTE($S42,"$",""),",","")),_xlpm.base,_xlpm.rate*(_xlpm.coverage/1000),_xlpm.fee,_xlfn.XLOOKUP("TransAmerica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2" s="80">
        <f t="array" ref="AO42">IFERROR(_xlfn.LET(_xlpm.rate,INDEX(Corebridge!$B$2:$C$32,MATCH($AE42,Corebridge!$A$2:$A$32,0),IF(LOWER(TRIM($F42))="male",1,2)),_xlpm.coverage,VALUE(SUBSTITUTE(SUBSTITUTE($S42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2" s="80">
        <f t="array" ref="AP42">IFERROR(_xlfn.LET(_xlpm.rate,INDEX(amam!$B$2:$E$37,MATCH($AE42,amam!$A$2:$A$37,0),IF(LOWER(TRIM($F42))="male",IF(LOWER(TRIM($K42))="yes",2,1),IF(LOWER(TRIM($K42))="yes",4,3))),_xlpm.coverage,VALUE(SUBSTITUTE(SUBSTITUTE($S42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2" s="80">
        <f t="array" ref="AQ42">IFERROR(_xlfn.LET(_xlpm.rate,INDEX('amam-graded'!$B$2:$E$37,MATCH($AE42,'amam-graded'!$A$2:$A$37,0),IF(LOWER(TRIM($F42))="male",IF(LOWER(TRIM($K42))="yes",2,1),IF(LOWER(TRIM($K42))="yes",4,3))),_xlpm.coverage,VALUE(SUBSTITUTE(SUBSTITUTE($S42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2" s="80">
        <f t="array" ref="AR42">IFERROR(_xlfn.LET(_xlpm.rate,INDEX('amam-return-or-premium'!$B$2:$E$37,MATCH($AE42,'amam-return-or-premium'!$A$2:$A$37,0),IF(LOWER(TRIM($F42))="male",IF(LOWER(TRIM($K42))="yes",2,1),IF(LOWER(TRIM($K42))="yes",4,3))),_xlpm.coverage,VALUE(SUBSTITUTE(SUBSTITUTE($S42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2" s="80">
        <f t="array" ref="AS42">IFERROR(_xlfn.LET(_xlpm.rate,INDEX(AHL!$B$2:$E$37,MATCH($AE42,AHL!$A$2:$A$37,0),IF(LOWER(TRIM($F42))="male",IF(LOWER(TRIM($K42))="yes",2,1),IF(LOWER(TRIM($K42))="yes",4,3))),_xlpm.coverage,VALUE(SUBSTITUTE(SUBSTITUTE($S42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2" s="80">
        <f t="array" ref="AT42">IFERROR(_xlfn.LET(_xlpm.rate,INDEX('AHL-Graded'!$B$2:$E$32,MATCH($AE42,'AHL-Graded'!$A$2:$A$32,0),IF(LOWER(TRIM($F42))="male",IF(LOWER(TRIM($K42))="yes",2,1),IF(LOWER(TRIM($K42))="yes",4,3))),_xlpm.coverage,VALUE(SUBSTITUTE(SUBSTITUTE($S42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2" s="80">
        <f t="array" ref="AU42">IFERROR(_xlfn.LET(_xlpm.rate,INDEX('Royal Neighbors'!$B$2:$E$37,MATCH($AE42,'Royal Neighbors'!$A$2:$A$37,0),IF(LOWER(TRIM($F42))="male",IF(LOWER(TRIM($K42))="yes",2,1),IF(LOWER(TRIM($K42))="yes",4,3))),_xlpm.coverage,VALUE(SUBSTITUTE(SUBSTITUTE($S42,"$",""),",","")),_xlpm.base,_xlpm.rate*(_xlpm.coverage/1000),_xlpm.fee,_xlfn.XLOOKUP("Royal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2" s="80">
        <f t="array" ref="AV42">IFERROR(_xlfn.LET(_xlpm.rate,INDEX('Royal Neighbors-Graded'!$B$2:$E$37,MATCH($AE42,'Royal Neighbors-Graded'!$A$2:$A$37,0),IF(LOWER(TRIM($F42))="male",IF(LOWER(TRIM($K42))="yes",2,1),IF(LOWER(TRIM($K42))="yes",4,3))),_xlpm.coverage,VALUE(SUBSTITUTE(SUBSTITUTE($S42,"$",""),",","")),_xlpm.base,_xlpm.rate*(_xlpm.coverage/1000),_xlpm.fee,_xlfn.XLOOKUP("Royal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2" s="80">
        <f t="array" ref="AW42">IFERROR(_xlfn.LET(_xlpm.rate,INDEX('Gerber-GI'!$B$2:$C$32,MATCH($AE42,'Gerber-GI'!$A$2:$A$32,0),IF(LOWER(TRIM($F42))="male",1,2)),_xlpm.coverage,VALUE(SUBSTITUTE(SUBSTITUTE($S42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2" s="80">
        <f t="array" ref="AX42">IFERROR(_xlfn.LET(_xlpm.rate,INDEX('Mutual of Omaha'!$B$2:$E$42,MATCH($AE42,'Mutual of Omaha'!$A$2:$A$42,0),IF(LOWER(TRIM($F42))="male",IF(LOWER(TRIM($K42))="yes",2,1),IF(LOWER(TRIM($K42))="yes",4,3))),_xlpm.coverage,VALUE(SUBSTITUTE(SUBSTITUTE($S42,"$",""),",","")),_xlpm.base,_xlpm.rate*(_xlpm.coverage/1000),_xlpm.fee,_xlfn.XLOOKUP("Mutal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2" s="80">
        <f t="array" ref="AY42">IFERROR(_xlfn.LET(_xlpm.rate,INDEX('Mutual of Omaha-Graded'!$B$2:$E$37,MATCH($AE42,'Mutual of Omaha-Graded'!$A$2:$A$37,0),IF(LOWER(TRIM($F42))="male",IF(LOWER(TRIM($K42))="yes",2,1),IF(LOWER(TRIM($K42))="yes",4,3))),_xlpm.coverage,VALUE(SUBSTITUTE(SUBSTITUTE($S42,"$",""),",","")),_xlpm.base,_xlpm.rate*(_xlpm.coverage/1000),_xlpm.fee,_xlfn.XLOOKUP("Mutual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2" s="80">
        <f>AP42</f>
        <v/>
      </c>
      <c r="BA42" s="80">
        <f>IFERROR(IF(AND(AP42&gt;0,AP42&lt;VALUE(SUBSTITUTE(SUBSTITUTE($T42,"$",""),",",""))),VALUE(SUBSTITUTE(SUBSTITUTE($T42,"$",""),",",""))-AP42,""),"")</f>
        <v/>
      </c>
      <c r="BB42" s="80">
        <f>AL42</f>
        <v/>
      </c>
      <c r="BC42" s="80">
        <f>IFERROR(IF(AND(AL42&gt;0,AL42&lt;VALUE(SUBSTITUTE(SUBSTITUTE($T42,"$",""),",",""))),VALUE(SUBSTITUTE(SUBSTITUTE($T42,"$",""),",",""))-AL42,""),"")</f>
        <v/>
      </c>
      <c r="BD42">
        <f t="array" ref="BD42">IFERROR(_xlfn.LET(_xlpm.current,VALUE(SUBSTITUTE(SUBSTITUTE($T42,"$",""),",","")),_xlpm.quotes,AF42:AY42,_xlpm.lowest,_xlfn.MINIFS(_xlpm.quotes,_xlpm.quotes,"&lt;"&amp;_xlpm.current,_xlpm.quotes,"&gt;0"),IF(_xlpm.lowest="","",SUBSTITUTE(INDEX($AF$1:$AY$1,1,MATCH(_xlpm.lowest,_xlpm.quotes,0))," Monthly Quote",""))),"")</f>
        <v/>
      </c>
      <c r="BE42" s="80">
        <f t="array" ref="BE42">IFERROR(_xlfn.LET(_xlpm.current,VALUE(SUBSTITUTE(SUBSTITUTE($T42,"$",""),",","")),_xlpm.quotes,AF42:AY42,_xlpm.lowest,_xlfn.MINIFS(_xlpm.quotes,_xlpm.quotes,"&lt;"&amp;_xlpm.current,_xlpm.quotes,"&gt;0"),IF(_xlpm.lowest="","",_xlpm.current-_xlpm.lowest)),"")</f>
        <v/>
      </c>
    </row>
    <row r="43">
      <c r="A43" s="67" t="inlineStr">
        <is>
          <t>Frank M</t>
        </is>
      </c>
      <c r="B43" s="67" t="inlineStr">
        <is>
          <t>Collins</t>
        </is>
      </c>
      <c r="C43" s="68" t="n">
        <v>3303346756</v>
      </c>
      <c r="D43" s="68" t="n">
        <v>78</v>
      </c>
      <c r="E43" s="69" t="n">
        <v>17304</v>
      </c>
      <c r="F43" s="67" t="inlineStr">
        <is>
          <t>Male</t>
        </is>
      </c>
      <c r="G43" s="67" t="inlineStr">
        <is>
          <t>146 N Lyman St Wadsworth, OH 44281</t>
        </is>
      </c>
      <c r="H43" s="67" t="inlineStr">
        <is>
          <t>PA</t>
        </is>
      </c>
      <c r="I43" s="68" t="n">
        <v>5.8</v>
      </c>
      <c r="J43" s="68" t="n">
        <v>149</v>
      </c>
      <c r="K43" s="67" t="inlineStr">
        <is>
          <t>No</t>
        </is>
      </c>
      <c r="L43" s="67" t="inlineStr">
        <is>
          <t>.</t>
        </is>
      </c>
      <c r="M43" s="67" t="inlineStr">
        <is>
          <t>Burial</t>
        </is>
      </c>
      <c r="N43" s="67" t="inlineStr">
        <is>
          <t>Megan Reynolds (march 18 1965)</t>
        </is>
      </c>
      <c r="O43" s="67" t="inlineStr">
        <is>
          <t>Daughter</t>
        </is>
      </c>
      <c r="P43" s="67" t="inlineStr">
        <is>
          <t>.</t>
        </is>
      </c>
      <c r="Q43" s="67" t="inlineStr">
        <is>
          <t>.</t>
        </is>
      </c>
      <c r="R43" s="67" t="inlineStr">
        <is>
          <t>CICA LIFE</t>
        </is>
      </c>
      <c r="S43" s="70" t="n">
        <v>3000</v>
      </c>
      <c r="T43" s="74" t="n">
        <v>67.72</v>
      </c>
      <c r="U43" s="69" t="n">
        <v>46008</v>
      </c>
      <c r="V43" s="69" t="n">
        <v>46008</v>
      </c>
      <c r="W43" s="68" t="n">
        <v>299381689</v>
      </c>
      <c r="X43" s="67" t="inlineStr">
        <is>
          <t>RJ693488</t>
        </is>
      </c>
      <c r="Y43" s="67" t="inlineStr">
        <is>
          <t>Huntington National Bank</t>
        </is>
      </c>
      <c r="Z43" s="68" t="n">
        <v>44000024</v>
      </c>
      <c r="AA43" s="68" t="n">
        <v>2508530892</v>
      </c>
      <c r="AB43" s="67" t="inlineStr">
        <is>
          <t>.</t>
        </is>
      </c>
      <c r="AC43" s="67" t="inlineStr">
        <is>
          <t>.</t>
        </is>
      </c>
      <c r="AD43" s="67" t="inlineStr">
        <is>
          <t>Dr. Rachel Patel</t>
        </is>
      </c>
      <c r="AE43" s="68" t="n">
        <v>79</v>
      </c>
      <c r="AF43" s="80">
        <f t="array" ref="AF43">IFERROR(_xlfn.LET(_xlpm.rate,INDEX(aflac!$B$2:$E$37,MATCH($AE43,aflac!$A$2:$A$37,0),IF(LOWER(TRIM($F43))="male",IF(LOWER(TRIM($K43))="yes",2,1),IF(LOWER(TRIM($K43))="yes",4,3))),_xlpm.coverage,VALUE(SUBSTITUTE(SUBSTITUTE($S43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3" s="80">
        <f t="array" ref="AG43">IFERROR(_xlfn.LET(_xlpm.rate,INDEX('aflac-modified'!$B$2:$C$32,MATCH($AE43,'aflac-modified'!$A$2:$A$32,0),IF(LOWER(TRIM($F43))="male",1,2)),_xlpm.coverage,VALUE(SUBSTITUTE(SUBSTITUTE($S43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3" s="80">
        <f t="array" ref="AH43">IFERROR(_xlfn.LET(_xlpm.rate,INDEX(SBLI!$B$2:$E$37,MATCH($AE43,SBLI!$A$2:$A$37,0),IF(LOWER(TRIM($F43))="male",IF(LOWER(TRIM($K43))="yes",2,1),IF(LOWER(TRIM($K43))="yes",4,3))),_xlpm.coverage,VALUE(SUBSTITUTE(SUBSTITUTE($S43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3" s="80">
        <f t="array" ref="AI43">IFERROR(_xlfn.LET(_xlpm.rate,INDEX('SBLI-Modified'!$B$2:$E$27,MATCH($AE43,'SBLI-Modified'!$A$2:$A$27,0),IF(LOWER(TRIM($F43))="male",IF(LOWER(TRIM($K43))="yes",2,1),IF(LOWER(TRIM($K43))="yes",4,3))),_xlpm.coverage,VALUE(SUBSTITUTE(SUBSTITUTE($S43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3" s="80">
        <f t="array" ref="AJ43">IFERROR(_xlfn.LET(_xlpm.rate,INDEX(CICA!$B$2:$C$42,MATCH($AE43,CICA!$A$2:$A$42,0),IF(LOWER(TRIM($F43))="male",1,2)),_xlpm.coverage,VALUE(SUBSTITUTE(SUBSTITUTE($S43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3" s="80">
        <f t="array" ref="AK43">IFERROR(_xlfn.LET(_xlpm.rate,INDEX('CICA-GI'!$B$2:$C$47,MATCH($AE43,'CICA-GI'!$A$2:$A$47,0),IF(LOWER(TRIM($F43))="male",1,2)),_xlpm.coverage,VALUE(SUBSTITUTE(SUBSTITUTE($S43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3" s="80">
        <f t="array" ref="AL43">IFERROR(_xlfn.LET(_xlpm.rate,INDEX(gtl!$B$2:$C$52,MATCH($AE43,gtl!$A$2:$A$52,0),IF(LOWER(TRIM($F43))="male",1,2)),_xlpm.coverage,VALUE(SUBSTITUTE(SUBSTITUTE($S43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3" s="80">
        <f t="array" ref="AM43">IFERROR(_xlfn.LET(_xlpm.rate,INDEX(TransAmerica!$B$2:$E$69,MATCH($AE43,TransAmerica!$A$2:$A$69,0),IF(LOWER(TRIM($F43))="male",IF(LOWER(TRIM($K43))="yes",2,1),IF(LOWER(TRIM($K43))="yes",4,3))),_xlpm.coverage,VALUE(SUBSTITUTE(SUBSTITUTE($S43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3" s="80">
        <f t="array" ref="AN43">IFERROR(_xlfn.LET(_xlpm.rate,INDEX('TransAmerica Graded'!$B$2:$E$64,MATCH($AE43,'TransAmerica Graded'!$A$2:$A$64,0),IF(LOWER(TRIM($F43))="male",IF(LOWER(TRIM($K43))="yes",2,1),IF(LOWER(TRIM($K43))="yes",4,3))),_xlpm.coverage,VALUE(SUBSTITUTE(SUBSTITUTE($S43,"$",""),",","")),_xlpm.base,_xlpm.rate*(_xlpm.coverage/1000),_xlpm.fee,_xlfn.XLOOKUP("TransAmerica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3" s="80">
        <f t="array" ref="AO43">IFERROR(_xlfn.LET(_xlpm.rate,INDEX(Corebridge!$B$2:$C$32,MATCH($AE43,Corebridge!$A$2:$A$32,0),IF(LOWER(TRIM($F43))="male",1,2)),_xlpm.coverage,VALUE(SUBSTITUTE(SUBSTITUTE($S43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3" s="80">
        <f t="array" ref="AP43">IFERROR(_xlfn.LET(_xlpm.rate,INDEX(amam!$B$2:$E$37,MATCH($AE43,amam!$A$2:$A$37,0),IF(LOWER(TRIM($F43))="male",IF(LOWER(TRIM($K43))="yes",2,1),IF(LOWER(TRIM($K43))="yes",4,3))),_xlpm.coverage,VALUE(SUBSTITUTE(SUBSTITUTE($S43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3" s="80">
        <f t="array" ref="AQ43">IFERROR(_xlfn.LET(_xlpm.rate,INDEX('amam-graded'!$B$2:$E$37,MATCH($AE43,'amam-graded'!$A$2:$A$37,0),IF(LOWER(TRIM($F43))="male",IF(LOWER(TRIM($K43))="yes",2,1),IF(LOWER(TRIM($K43))="yes",4,3))),_xlpm.coverage,VALUE(SUBSTITUTE(SUBSTITUTE($S43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3" s="80">
        <f t="array" ref="AR43">IFERROR(_xlfn.LET(_xlpm.rate,INDEX('amam-return-or-premium'!$B$2:$E$37,MATCH($AE43,'amam-return-or-premium'!$A$2:$A$37,0),IF(LOWER(TRIM($F43))="male",IF(LOWER(TRIM($K43))="yes",2,1),IF(LOWER(TRIM($K43))="yes",4,3))),_xlpm.coverage,VALUE(SUBSTITUTE(SUBSTITUTE($S43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3" s="80">
        <f t="array" ref="AS43">IFERROR(_xlfn.LET(_xlpm.rate,INDEX(AHL!$B$2:$E$37,MATCH($AE43,AHL!$A$2:$A$37,0),IF(LOWER(TRIM($F43))="male",IF(LOWER(TRIM($K43))="yes",2,1),IF(LOWER(TRIM($K43))="yes",4,3))),_xlpm.coverage,VALUE(SUBSTITUTE(SUBSTITUTE($S43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3" s="80">
        <f t="array" ref="AT43">IFERROR(_xlfn.LET(_xlpm.rate,INDEX('AHL-Graded'!$B$2:$E$32,MATCH($AE43,'AHL-Graded'!$A$2:$A$32,0),IF(LOWER(TRIM($F43))="male",IF(LOWER(TRIM($K43))="yes",2,1),IF(LOWER(TRIM($K43))="yes",4,3))),_xlpm.coverage,VALUE(SUBSTITUTE(SUBSTITUTE($S43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3" s="80">
        <f t="array" ref="AU43">IFERROR(_xlfn.LET(_xlpm.rate,INDEX('Royal Neighbors'!$B$2:$E$37,MATCH($AE43,'Royal Neighbors'!$A$2:$A$37,0),IF(LOWER(TRIM($F43))="male",IF(LOWER(TRIM($K43))="yes",2,1),IF(LOWER(TRIM($K43))="yes",4,3))),_xlpm.coverage,VALUE(SUBSTITUTE(SUBSTITUTE($S43,"$",""),",","")),_xlpm.base,_xlpm.rate*(_xlpm.coverage/1000),_xlpm.fee,_xlfn.XLOOKUP("Royal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3" s="80">
        <f t="array" ref="AV43">IFERROR(_xlfn.LET(_xlpm.rate,INDEX('Royal Neighbors-Graded'!$B$2:$E$37,MATCH($AE43,'Royal Neighbors-Graded'!$A$2:$A$37,0),IF(LOWER(TRIM($F43))="male",IF(LOWER(TRIM($K43))="yes",2,1),IF(LOWER(TRIM($K43))="yes",4,3))),_xlpm.coverage,VALUE(SUBSTITUTE(SUBSTITUTE($S43,"$",""),",","")),_xlpm.base,_xlpm.rate*(_xlpm.coverage/1000),_xlpm.fee,_xlfn.XLOOKUP("Royal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3" s="80">
        <f t="array" ref="AW43">IFERROR(_xlfn.LET(_xlpm.rate,INDEX('Gerber-GI'!$B$2:$C$32,MATCH($AE43,'Gerber-GI'!$A$2:$A$32,0),IF(LOWER(TRIM($F43))="male",1,2)),_xlpm.coverage,VALUE(SUBSTITUTE(SUBSTITUTE($S43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3" s="80">
        <f t="array" ref="AX43">IFERROR(_xlfn.LET(_xlpm.rate,INDEX('Mutual of Omaha'!$B$2:$E$42,MATCH($AE43,'Mutual of Omaha'!$A$2:$A$42,0),IF(LOWER(TRIM($F43))="male",IF(LOWER(TRIM($K43))="yes",2,1),IF(LOWER(TRIM($K43))="yes",4,3))),_xlpm.coverage,VALUE(SUBSTITUTE(SUBSTITUTE($S43,"$",""),",","")),_xlpm.base,_xlpm.rate*(_xlpm.coverage/1000),_xlpm.fee,_xlfn.XLOOKUP("Mutal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3" s="80">
        <f t="array" ref="AY43">IFERROR(_xlfn.LET(_xlpm.rate,INDEX('Mutual of Omaha-Graded'!$B$2:$E$37,MATCH($AE43,'Mutual of Omaha-Graded'!$A$2:$A$37,0),IF(LOWER(TRIM($F43))="male",IF(LOWER(TRIM($K43))="yes",2,1),IF(LOWER(TRIM($K43))="yes",4,3))),_xlpm.coverage,VALUE(SUBSTITUTE(SUBSTITUTE($S43,"$",""),",","")),_xlpm.base,_xlpm.rate*(_xlpm.coverage/1000),_xlpm.fee,_xlfn.XLOOKUP("Mutual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3" s="80">
        <f>AP43</f>
        <v/>
      </c>
      <c r="BA43" s="80">
        <f>IFERROR(IF(AND(AP43&gt;0,AP43&lt;VALUE(SUBSTITUTE(SUBSTITUTE($T43,"$",""),",",""))),VALUE(SUBSTITUTE(SUBSTITUTE($T43,"$",""),",",""))-AP43,""),"")</f>
        <v/>
      </c>
      <c r="BB43" s="80">
        <f>AL43</f>
        <v/>
      </c>
      <c r="BC43" s="80">
        <f>IFERROR(IF(AND(AL43&gt;0,AL43&lt;VALUE(SUBSTITUTE(SUBSTITUTE($T43,"$",""),",",""))),VALUE(SUBSTITUTE(SUBSTITUTE($T43,"$",""),",",""))-AL43,""),"")</f>
        <v/>
      </c>
      <c r="BD43">
        <f t="array" ref="BD43">IFERROR(_xlfn.LET(_xlpm.current,VALUE(SUBSTITUTE(SUBSTITUTE($T43,"$",""),",","")),_xlpm.quotes,AF43:AY43,_xlpm.lowest,_xlfn.MINIFS(_xlpm.quotes,_xlpm.quotes,"&lt;"&amp;_xlpm.current,_xlpm.quotes,"&gt;0"),IF(_xlpm.lowest="","",SUBSTITUTE(INDEX($AF$1:$AY$1,1,MATCH(_xlpm.lowest,_xlpm.quotes,0))," Monthly Quote",""))),"")</f>
        <v/>
      </c>
      <c r="BE43" s="80">
        <f t="array" ref="BE43">IFERROR(_xlfn.LET(_xlpm.current,VALUE(SUBSTITUTE(SUBSTITUTE($T43,"$",""),",","")),_xlpm.quotes,AF43:AY43,_xlpm.lowest,_xlfn.MINIFS(_xlpm.quotes,_xlpm.quotes,"&lt;"&amp;_xlpm.current,_xlpm.quotes,"&gt;0"),IF(_xlpm.lowest="","",_xlpm.current-_xlpm.lowest)),"")</f>
        <v/>
      </c>
    </row>
    <row r="44">
      <c r="A44" s="67" t="inlineStr">
        <is>
          <t>Minnie H</t>
        </is>
      </c>
      <c r="B44" s="67" t="inlineStr">
        <is>
          <t>Crockrum</t>
        </is>
      </c>
      <c r="C44" s="68" t="n">
        <v>9855901035</v>
      </c>
      <c r="D44" s="68" t="n">
        <v>81</v>
      </c>
      <c r="E44" s="69" t="n">
        <v>16097</v>
      </c>
      <c r="F44" s="67" t="inlineStr">
        <is>
          <t>Female</t>
        </is>
      </c>
      <c r="G44" s="67" t="inlineStr">
        <is>
          <t>39000 Henry Rd, Unit B2 Pearl River LA 70452</t>
        </is>
      </c>
      <c r="H44" s="67" t="inlineStr">
        <is>
          <t>MS</t>
        </is>
      </c>
      <c r="I44" s="73" t="n">
        <v>46146</v>
      </c>
      <c r="J44" s="68" t="n">
        <v>138</v>
      </c>
      <c r="K44" s="67" t="inlineStr">
        <is>
          <t>No</t>
        </is>
      </c>
      <c r="L44" s="67" t="n"/>
      <c r="M44" s="67" t="inlineStr">
        <is>
          <t>Cremation</t>
        </is>
      </c>
      <c r="N44" s="67" t="inlineStr">
        <is>
          <t>Natalie Simmons: 10/14/1966</t>
        </is>
      </c>
      <c r="O44" s="67" t="inlineStr">
        <is>
          <t>daughter</t>
        </is>
      </c>
      <c r="P44" s="67" t="n"/>
      <c r="Q44" s="67" t="n"/>
      <c r="R44" s="67" t="inlineStr">
        <is>
          <t>Cica Life</t>
        </is>
      </c>
      <c r="S44" s="70" t="n">
        <v>3000</v>
      </c>
      <c r="T44" s="71" t="n">
        <v>48.94</v>
      </c>
      <c r="U44" s="69" t="n">
        <v>45976</v>
      </c>
      <c r="V44" s="69" t="n">
        <v>46006</v>
      </c>
      <c r="W44" s="68" t="n">
        <v>3116110</v>
      </c>
      <c r="X44" s="67" t="inlineStr">
        <is>
          <t>No</t>
        </is>
      </c>
      <c r="Y44" s="67" t="inlineStr">
        <is>
          <t>Capital One bank</t>
        </is>
      </c>
      <c r="Z44" s="68" t="n">
        <v>31176110</v>
      </c>
      <c r="AA44" s="68" t="n">
        <v>36119857856</v>
      </c>
      <c r="AB44" s="67" t="inlineStr">
        <is>
          <t>Asma(mild)</t>
        </is>
      </c>
      <c r="AC44" s="67" t="inlineStr">
        <is>
          <t>Gabapentin , Omeprazole</t>
        </is>
      </c>
      <c r="AD44" s="67" t="inlineStr">
        <is>
          <t>NO</t>
        </is>
      </c>
      <c r="AE44" s="68" t="n">
        <v>82</v>
      </c>
      <c r="AF44" s="80">
        <f t="array" ref="AF44">IFERROR(_xlfn.LET(_xlpm.rate,INDEX(aflac!$B$2:$E$37,MATCH($AE44,aflac!$A$2:$A$37,0),IF(LOWER(TRIM($F44))="male",IF(LOWER(TRIM($K44))="yes",2,1),IF(LOWER(TRIM($K44))="yes",4,3))),_xlpm.coverage,VALUE(SUBSTITUTE(SUBSTITUTE($S44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4" s="80">
        <f t="array" ref="AG44">IFERROR(_xlfn.LET(_xlpm.rate,INDEX('aflac-modified'!$B$2:$C$32,MATCH($AE44,'aflac-modified'!$A$2:$A$32,0),IF(LOWER(TRIM($F44))="male",1,2)),_xlpm.coverage,VALUE(SUBSTITUTE(SUBSTITUTE($S44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4" s="80">
        <f t="array" ref="AH44">IFERROR(_xlfn.LET(_xlpm.rate,INDEX(SBLI!$B$2:$E$37,MATCH($AE44,SBLI!$A$2:$A$37,0),IF(LOWER(TRIM($F44))="male",IF(LOWER(TRIM($K44))="yes",2,1),IF(LOWER(TRIM($K44))="yes",4,3))),_xlpm.coverage,VALUE(SUBSTITUTE(SUBSTITUTE($S44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4" s="80">
        <f t="array" ref="AI44">IFERROR(_xlfn.LET(_xlpm.rate,INDEX('SBLI-Modified'!$B$2:$E$27,MATCH($AE44,'SBLI-Modified'!$A$2:$A$27,0),IF(LOWER(TRIM($F44))="male",IF(LOWER(TRIM($K44))="yes",2,1),IF(LOWER(TRIM($K44))="yes",4,3))),_xlpm.coverage,VALUE(SUBSTITUTE(SUBSTITUTE($S44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4" s="80">
        <f t="array" ref="AJ44">IFERROR(_xlfn.LET(_xlpm.rate,INDEX(CICA!$B$2:$C$42,MATCH($AE44,CICA!$A$2:$A$42,0),IF(LOWER(TRIM($F44))="male",1,2)),_xlpm.coverage,VALUE(SUBSTITUTE(SUBSTITUTE($S44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4" s="80">
        <f t="array" ref="AK44">IFERROR(_xlfn.LET(_xlpm.rate,INDEX('CICA-GI'!$B$2:$C$47,MATCH($AE44,'CICA-GI'!$A$2:$A$47,0),IF(LOWER(TRIM($F44))="male",1,2)),_xlpm.coverage,VALUE(SUBSTITUTE(SUBSTITUTE($S44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4" s="80">
        <f t="array" ref="AL44">IFERROR(_xlfn.LET(_xlpm.rate,INDEX(gtl!$B$2:$C$52,MATCH($AE44,gtl!$A$2:$A$52,0),IF(LOWER(TRIM($F44))="male",1,2)),_xlpm.coverage,VALUE(SUBSTITUTE(SUBSTITUTE($S44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4" s="80">
        <f t="array" ref="AM44">IFERROR(_xlfn.LET(_xlpm.rate,INDEX(TransAmerica!$B$2:$E$69,MATCH($AE44,TransAmerica!$A$2:$A$69,0),IF(LOWER(TRIM($F44))="male",IF(LOWER(TRIM($K44))="yes",2,1),IF(LOWER(TRIM($K44))="yes",4,3))),_xlpm.coverage,VALUE(SUBSTITUTE(SUBSTITUTE($S44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4" s="80">
        <f t="array" ref="AN44">IFERROR(_xlfn.LET(_xlpm.rate,INDEX('TransAmerica Graded'!$B$2:$E$64,MATCH($AE44,'TransAmerica Graded'!$A$2:$A$64,0),IF(LOWER(TRIM($F44))="male",IF(LOWER(TRIM($K44))="yes",2,1),IF(LOWER(TRIM($K44))="yes",4,3))),_xlpm.coverage,VALUE(SUBSTITUTE(SUBSTITUTE($S44,"$",""),",","")),_xlpm.base,_xlpm.rate*(_xlpm.coverage/1000),_xlpm.fee,_xlfn.XLOOKUP("TransAmerica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4" s="80">
        <f t="array" ref="AO44">IFERROR(_xlfn.LET(_xlpm.rate,INDEX(Corebridge!$B$2:$C$32,MATCH($AE44,Corebridge!$A$2:$A$32,0),IF(LOWER(TRIM($F44))="male",1,2)),_xlpm.coverage,VALUE(SUBSTITUTE(SUBSTITUTE($S44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4" s="80">
        <f t="array" ref="AP44">IFERROR(_xlfn.LET(_xlpm.rate,INDEX(amam!$B$2:$E$37,MATCH($AE44,amam!$A$2:$A$37,0),IF(LOWER(TRIM($F44))="male",IF(LOWER(TRIM($K44))="yes",2,1),IF(LOWER(TRIM($K44))="yes",4,3))),_xlpm.coverage,VALUE(SUBSTITUTE(SUBSTITUTE($S44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4" s="80">
        <f t="array" ref="AQ44">IFERROR(_xlfn.LET(_xlpm.rate,INDEX('amam-graded'!$B$2:$E$37,MATCH($AE44,'amam-graded'!$A$2:$A$37,0),IF(LOWER(TRIM($F44))="male",IF(LOWER(TRIM($K44))="yes",2,1),IF(LOWER(TRIM($K44))="yes",4,3))),_xlpm.coverage,VALUE(SUBSTITUTE(SUBSTITUTE($S44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4" s="80">
        <f t="array" ref="AR44">IFERROR(_xlfn.LET(_xlpm.rate,INDEX('amam-return-or-premium'!$B$2:$E$37,MATCH($AE44,'amam-return-or-premium'!$A$2:$A$37,0),IF(LOWER(TRIM($F44))="male",IF(LOWER(TRIM($K44))="yes",2,1),IF(LOWER(TRIM($K44))="yes",4,3))),_xlpm.coverage,VALUE(SUBSTITUTE(SUBSTITUTE($S44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4" s="80">
        <f t="array" ref="AS44">IFERROR(_xlfn.LET(_xlpm.rate,INDEX(AHL!$B$2:$E$37,MATCH($AE44,AHL!$A$2:$A$37,0),IF(LOWER(TRIM($F44))="male",IF(LOWER(TRIM($K44))="yes",2,1),IF(LOWER(TRIM($K44))="yes",4,3))),_xlpm.coverage,VALUE(SUBSTITUTE(SUBSTITUTE($S44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4" s="80">
        <f t="array" ref="AT44">IFERROR(_xlfn.LET(_xlpm.rate,INDEX('AHL-Graded'!$B$2:$E$32,MATCH($AE44,'AHL-Graded'!$A$2:$A$32,0),IF(LOWER(TRIM($F44))="male",IF(LOWER(TRIM($K44))="yes",2,1),IF(LOWER(TRIM($K44))="yes",4,3))),_xlpm.coverage,VALUE(SUBSTITUTE(SUBSTITUTE($S44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4" s="80">
        <f t="array" ref="AU44">IFERROR(_xlfn.LET(_xlpm.rate,INDEX('Royal Neighbors'!$B$2:$E$37,MATCH($AE44,'Royal Neighbors'!$A$2:$A$37,0),IF(LOWER(TRIM($F44))="male",IF(LOWER(TRIM($K44))="yes",2,1),IF(LOWER(TRIM($K44))="yes",4,3))),_xlpm.coverage,VALUE(SUBSTITUTE(SUBSTITUTE($S44,"$",""),",","")),_xlpm.base,_xlpm.rate*(_xlpm.coverage/1000),_xlpm.fee,_xlfn.XLOOKUP("Royal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4" s="80">
        <f t="array" ref="AV44">IFERROR(_xlfn.LET(_xlpm.rate,INDEX('Royal Neighbors-Graded'!$B$2:$E$37,MATCH($AE44,'Royal Neighbors-Graded'!$A$2:$A$37,0),IF(LOWER(TRIM($F44))="male",IF(LOWER(TRIM($K44))="yes",2,1),IF(LOWER(TRIM($K44))="yes",4,3))),_xlpm.coverage,VALUE(SUBSTITUTE(SUBSTITUTE($S44,"$",""),",","")),_xlpm.base,_xlpm.rate*(_xlpm.coverage/1000),_xlpm.fee,_xlfn.XLOOKUP("Royal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4" s="80">
        <f t="array" ref="AW44">IFERROR(_xlfn.LET(_xlpm.rate,INDEX('Gerber-GI'!$B$2:$C$32,MATCH($AE44,'Gerber-GI'!$A$2:$A$32,0),IF(LOWER(TRIM($F44))="male",1,2)),_xlpm.coverage,VALUE(SUBSTITUTE(SUBSTITUTE($S44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4" s="80">
        <f t="array" ref="AX44">IFERROR(_xlfn.LET(_xlpm.rate,INDEX('Mutual of Omaha'!$B$2:$E$42,MATCH($AE44,'Mutual of Omaha'!$A$2:$A$42,0),IF(LOWER(TRIM($F44))="male",IF(LOWER(TRIM($K44))="yes",2,1),IF(LOWER(TRIM($K44))="yes",4,3))),_xlpm.coverage,VALUE(SUBSTITUTE(SUBSTITUTE($S44,"$",""),",","")),_xlpm.base,_xlpm.rate*(_xlpm.coverage/1000),_xlpm.fee,_xlfn.XLOOKUP("Mutal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4" s="80">
        <f t="array" ref="AY44">IFERROR(_xlfn.LET(_xlpm.rate,INDEX('Mutual of Omaha-Graded'!$B$2:$E$37,MATCH($AE44,'Mutual of Omaha-Graded'!$A$2:$A$37,0),IF(LOWER(TRIM($F44))="male",IF(LOWER(TRIM($K44))="yes",2,1),IF(LOWER(TRIM($K44))="yes",4,3))),_xlpm.coverage,VALUE(SUBSTITUTE(SUBSTITUTE($S44,"$",""),",","")),_xlpm.base,_xlpm.rate*(_xlpm.coverage/1000),_xlpm.fee,_xlfn.XLOOKUP("Mutual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4" s="80">
        <f>AP44</f>
        <v/>
      </c>
      <c r="BA44" s="80">
        <f>IFERROR(IF(AND(AP44&gt;0,AP44&lt;VALUE(SUBSTITUTE(SUBSTITUTE($T44,"$",""),",",""))),VALUE(SUBSTITUTE(SUBSTITUTE($T44,"$",""),",",""))-AP44,""),"")</f>
        <v/>
      </c>
      <c r="BB44" s="80">
        <f>AL44</f>
        <v/>
      </c>
      <c r="BC44" s="80">
        <f>IFERROR(IF(AND(AL44&gt;0,AL44&lt;VALUE(SUBSTITUTE(SUBSTITUTE($T44,"$",""),",",""))),VALUE(SUBSTITUTE(SUBSTITUTE($T44,"$",""),",",""))-AL44,""),"")</f>
        <v/>
      </c>
      <c r="BD44">
        <f t="array" ref="BD44">IFERROR(_xlfn.LET(_xlpm.current,VALUE(SUBSTITUTE(SUBSTITUTE($T44,"$",""),",","")),_xlpm.quotes,AF44:AY44,_xlpm.lowest,_xlfn.MINIFS(_xlpm.quotes,_xlpm.quotes,"&lt;"&amp;_xlpm.current,_xlpm.quotes,"&gt;0"),IF(_xlpm.lowest="","",SUBSTITUTE(INDEX($AF$1:$AY$1,1,MATCH(_xlpm.lowest,_xlpm.quotes,0))," Monthly Quote",""))),"")</f>
        <v/>
      </c>
      <c r="BE44" s="80">
        <f t="array" ref="BE44">IFERROR(_xlfn.LET(_xlpm.current,VALUE(SUBSTITUTE(SUBSTITUTE($T44,"$",""),",","")),_xlpm.quotes,AF44:AY44,_xlpm.lowest,_xlfn.MINIFS(_xlpm.quotes,_xlpm.quotes,"&lt;"&amp;_xlpm.current,_xlpm.quotes,"&gt;0"),IF(_xlpm.lowest="","",_xlpm.current-_xlpm.lowest)),"")</f>
        <v/>
      </c>
    </row>
    <row r="45">
      <c r="A45" s="63" t="inlineStr">
        <is>
          <t>Carl L</t>
        </is>
      </c>
      <c r="B45" s="63" t="inlineStr">
        <is>
          <t>Jordan</t>
        </is>
      </c>
      <c r="C45" s="64" t="n">
        <v>3305907890</v>
      </c>
      <c r="D45" s="64" t="n">
        <v>83</v>
      </c>
      <c r="E45" s="65" t="n">
        <v>15376</v>
      </c>
      <c r="F45" s="63" t="inlineStr">
        <is>
          <t>Male</t>
        </is>
      </c>
      <c r="G45" s="63" t="inlineStr">
        <is>
          <t>1990 Wadsworth Rd Norton OH 44203</t>
        </is>
      </c>
      <c r="H45" s="63" t="inlineStr">
        <is>
          <t>OH</t>
        </is>
      </c>
      <c r="I45" s="64" t="n">
        <v>4.3</v>
      </c>
      <c r="J45" s="64" t="n">
        <v>149</v>
      </c>
      <c r="K45" s="63" t="inlineStr">
        <is>
          <t>No</t>
        </is>
      </c>
      <c r="L45" s="63" t="inlineStr">
        <is>
          <t>.</t>
        </is>
      </c>
      <c r="M45" s="63" t="inlineStr">
        <is>
          <t>Burial</t>
        </is>
      </c>
      <c r="N45" s="63" t="inlineStr">
        <is>
          <t>Jeffery Jordan: (65)</t>
        </is>
      </c>
      <c r="O45" s="63" t="inlineStr">
        <is>
          <t>Son</t>
        </is>
      </c>
      <c r="P45" s="63" t="inlineStr">
        <is>
          <t>.</t>
        </is>
      </c>
      <c r="Q45" s="63" t="inlineStr">
        <is>
          <t>.</t>
        </is>
      </c>
      <c r="R45" s="63" t="inlineStr">
        <is>
          <t>CICA GI</t>
        </is>
      </c>
      <c r="S45" s="66" t="n">
        <v>2000</v>
      </c>
      <c r="T45" s="77" t="n">
        <v>59.73</v>
      </c>
      <c r="U45" s="65" t="n">
        <v>45994</v>
      </c>
      <c r="V45" s="65" t="n">
        <v>46025</v>
      </c>
      <c r="W45" s="64" t="n">
        <v>300368022</v>
      </c>
      <c r="X45" s="63" t="inlineStr">
        <is>
          <t>.</t>
        </is>
      </c>
      <c r="Y45" s="63" t="inlineStr">
        <is>
          <t>JPMorgan Chase Bank</t>
        </is>
      </c>
      <c r="Z45" s="64" t="n">
        <v>44000037</v>
      </c>
      <c r="AA45" s="64" t="n">
        <v>6278951656</v>
      </c>
      <c r="AB45" s="63" t="inlineStr">
        <is>
          <t>Memory Issue</t>
        </is>
      </c>
      <c r="AC45" s="63" t="inlineStr">
        <is>
          <t>.</t>
        </is>
      </c>
      <c r="AD45" s="63" t="inlineStr">
        <is>
          <t>.</t>
        </is>
      </c>
      <c r="AE45" s="64" t="n">
        <v>84</v>
      </c>
      <c r="AF45" s="80">
        <f t="array" ref="AF45">IFERROR(_xlfn.LET(_xlpm.rate,INDEX(aflac!$B$2:$E$37,MATCH($AE45,aflac!$A$2:$A$37,0),IF(LOWER(TRIM($F45))="male",IF(LOWER(TRIM($K45))="yes",2,1),IF(LOWER(TRIM($K45))="yes",4,3))),_xlpm.coverage,VALUE(SUBSTITUTE(SUBSTITUTE($S45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5" s="80">
        <f t="array" ref="AG45">IFERROR(_xlfn.LET(_xlpm.rate,INDEX('aflac-modified'!$B$2:$C$32,MATCH($AE45,'aflac-modified'!$A$2:$A$32,0),IF(LOWER(TRIM($F45))="male",1,2)),_xlpm.coverage,VALUE(SUBSTITUTE(SUBSTITUTE($S45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5" s="80">
        <f t="array" ref="AH45">IFERROR(_xlfn.LET(_xlpm.rate,INDEX(SBLI!$B$2:$E$37,MATCH($AE45,SBLI!$A$2:$A$37,0),IF(LOWER(TRIM($F45))="male",IF(LOWER(TRIM($K45))="yes",2,1),IF(LOWER(TRIM($K45))="yes",4,3))),_xlpm.coverage,VALUE(SUBSTITUTE(SUBSTITUTE($S45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5" s="80">
        <f t="array" ref="AI45">IFERROR(_xlfn.LET(_xlpm.rate,INDEX('SBLI-Modified'!$B$2:$E$27,MATCH($AE45,'SBLI-Modified'!$A$2:$A$27,0),IF(LOWER(TRIM($F45))="male",IF(LOWER(TRIM($K45))="yes",2,1),IF(LOWER(TRIM($K45))="yes",4,3))),_xlpm.coverage,VALUE(SUBSTITUTE(SUBSTITUTE($S45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5" s="80">
        <f t="array" ref="AJ45">IFERROR(_xlfn.LET(_xlpm.rate,INDEX(CICA!$B$2:$C$42,MATCH($AE45,CICA!$A$2:$A$42,0),IF(LOWER(TRIM($F45))="male",1,2)),_xlpm.coverage,VALUE(SUBSTITUTE(SUBSTITUTE($S45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5" s="80">
        <f t="array" ref="AK45">IFERROR(_xlfn.LET(_xlpm.rate,INDEX('CICA-GI'!$B$2:$C$47,MATCH($AE45,'CICA-GI'!$A$2:$A$47,0),IF(LOWER(TRIM($F45))="male",1,2)),_xlpm.coverage,VALUE(SUBSTITUTE(SUBSTITUTE($S45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5" s="80">
        <f t="array" ref="AL45">IFERROR(_xlfn.LET(_xlpm.rate,INDEX(gtl!$B$2:$C$52,MATCH($AE45,gtl!$A$2:$A$52,0),IF(LOWER(TRIM($F45))="male",1,2)),_xlpm.coverage,VALUE(SUBSTITUTE(SUBSTITUTE($S45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5" s="80">
        <f t="array" ref="AM45">IFERROR(_xlfn.LET(_xlpm.rate,INDEX(TransAmerica!$B$2:$E$69,MATCH($AE45,TransAmerica!$A$2:$A$69,0),IF(LOWER(TRIM($F45))="male",IF(LOWER(TRIM($K45))="yes",2,1),IF(LOWER(TRIM($K45))="yes",4,3))),_xlpm.coverage,VALUE(SUBSTITUTE(SUBSTITUTE($S45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5" s="80">
        <f t="array" ref="AN45">IFERROR(_xlfn.LET(_xlpm.rate,INDEX('TransAmerica Graded'!$B$2:$E$64,MATCH($AE45,'TransAmerica Graded'!$A$2:$A$64,0),IF(LOWER(TRIM($F45))="male",IF(LOWER(TRIM($K45))="yes",2,1),IF(LOWER(TRIM($K45))="yes",4,3))),_xlpm.coverage,VALUE(SUBSTITUTE(SUBSTITUTE($S45,"$",""),",","")),_xlpm.base,_xlpm.rate*(_xlpm.coverage/1000),_xlpm.fee,_xlfn.XLOOKUP("TransAmerica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5" s="80">
        <f t="array" ref="AO45">IFERROR(_xlfn.LET(_xlpm.rate,INDEX(Corebridge!$B$2:$C$32,MATCH($AE45,Corebridge!$A$2:$A$32,0),IF(LOWER(TRIM($F45))="male",1,2)),_xlpm.coverage,VALUE(SUBSTITUTE(SUBSTITUTE($S45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5" s="80">
        <f t="array" ref="AP45">IFERROR(_xlfn.LET(_xlpm.rate,INDEX(amam!$B$2:$E$37,MATCH($AE45,amam!$A$2:$A$37,0),IF(LOWER(TRIM($F45))="male",IF(LOWER(TRIM($K45))="yes",2,1),IF(LOWER(TRIM($K45))="yes",4,3))),_xlpm.coverage,VALUE(SUBSTITUTE(SUBSTITUTE($S45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5" s="80">
        <f t="array" ref="AQ45">IFERROR(_xlfn.LET(_xlpm.rate,INDEX('amam-graded'!$B$2:$E$37,MATCH($AE45,'amam-graded'!$A$2:$A$37,0),IF(LOWER(TRIM($F45))="male",IF(LOWER(TRIM($K45))="yes",2,1),IF(LOWER(TRIM($K45))="yes",4,3))),_xlpm.coverage,VALUE(SUBSTITUTE(SUBSTITUTE($S45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5" s="80">
        <f t="array" ref="AR45">IFERROR(_xlfn.LET(_xlpm.rate,INDEX('amam-return-or-premium'!$B$2:$E$37,MATCH($AE45,'amam-return-or-premium'!$A$2:$A$37,0),IF(LOWER(TRIM($F45))="male",IF(LOWER(TRIM($K45))="yes",2,1),IF(LOWER(TRIM($K45))="yes",4,3))),_xlpm.coverage,VALUE(SUBSTITUTE(SUBSTITUTE($S45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5" s="80">
        <f t="array" ref="AS45">IFERROR(_xlfn.LET(_xlpm.rate,INDEX(AHL!$B$2:$E$37,MATCH($AE45,AHL!$A$2:$A$37,0),IF(LOWER(TRIM($F45))="male",IF(LOWER(TRIM($K45))="yes",2,1),IF(LOWER(TRIM($K45))="yes",4,3))),_xlpm.coverage,VALUE(SUBSTITUTE(SUBSTITUTE($S45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5" s="80">
        <f t="array" ref="AT45">IFERROR(_xlfn.LET(_xlpm.rate,INDEX('AHL-Graded'!$B$2:$E$32,MATCH($AE45,'AHL-Graded'!$A$2:$A$32,0),IF(LOWER(TRIM($F45))="male",IF(LOWER(TRIM($K45))="yes",2,1),IF(LOWER(TRIM($K45))="yes",4,3))),_xlpm.coverage,VALUE(SUBSTITUTE(SUBSTITUTE($S45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5" s="80">
        <f t="array" ref="AU45">IFERROR(_xlfn.LET(_xlpm.rate,INDEX('Royal Neighbors'!$B$2:$E$37,MATCH($AE45,'Royal Neighbors'!$A$2:$A$37,0),IF(LOWER(TRIM($F45))="male",IF(LOWER(TRIM($K45))="yes",2,1),IF(LOWER(TRIM($K45))="yes",4,3))),_xlpm.coverage,VALUE(SUBSTITUTE(SUBSTITUTE($S45,"$",""),",","")),_xlpm.base,_xlpm.rate*(_xlpm.coverage/1000),_xlpm.fee,_xlfn.XLOOKUP("Royal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5" s="80">
        <f t="array" ref="AV45">IFERROR(_xlfn.LET(_xlpm.rate,INDEX('Royal Neighbors-Graded'!$B$2:$E$37,MATCH($AE45,'Royal Neighbors-Graded'!$A$2:$A$37,0),IF(LOWER(TRIM($F45))="male",IF(LOWER(TRIM($K45))="yes",2,1),IF(LOWER(TRIM($K45))="yes",4,3))),_xlpm.coverage,VALUE(SUBSTITUTE(SUBSTITUTE($S45,"$",""),",","")),_xlpm.base,_xlpm.rate*(_xlpm.coverage/1000),_xlpm.fee,_xlfn.XLOOKUP("Royal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5" s="80">
        <f t="array" ref="AW45">IFERROR(_xlfn.LET(_xlpm.rate,INDEX('Gerber-GI'!$B$2:$C$32,MATCH($AE45,'Gerber-GI'!$A$2:$A$32,0),IF(LOWER(TRIM($F45))="male",1,2)),_xlpm.coverage,VALUE(SUBSTITUTE(SUBSTITUTE($S45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5" s="80">
        <f t="array" ref="AX45">IFERROR(_xlfn.LET(_xlpm.rate,INDEX('Mutual of Omaha'!$B$2:$E$42,MATCH($AE45,'Mutual of Omaha'!$A$2:$A$42,0),IF(LOWER(TRIM($F45))="male",IF(LOWER(TRIM($K45))="yes",2,1),IF(LOWER(TRIM($K45))="yes",4,3))),_xlpm.coverage,VALUE(SUBSTITUTE(SUBSTITUTE($S45,"$",""),",","")),_xlpm.base,_xlpm.rate*(_xlpm.coverage/1000),_xlpm.fee,_xlfn.XLOOKUP("Mutal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5" s="80">
        <f t="array" ref="AY45">IFERROR(_xlfn.LET(_xlpm.rate,INDEX('Mutual of Omaha-Graded'!$B$2:$E$37,MATCH($AE45,'Mutual of Omaha-Graded'!$A$2:$A$37,0),IF(LOWER(TRIM($F45))="male",IF(LOWER(TRIM($K45))="yes",2,1),IF(LOWER(TRIM($K45))="yes",4,3))),_xlpm.coverage,VALUE(SUBSTITUTE(SUBSTITUTE($S45,"$",""),",","")),_xlpm.base,_xlpm.rate*(_xlpm.coverage/1000),_xlpm.fee,_xlfn.XLOOKUP("Mutual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5" s="80">
        <f>AP45</f>
        <v/>
      </c>
      <c r="BA45" s="80">
        <f>IFERROR(IF(AND(AP45&gt;0,AP45&lt;VALUE(SUBSTITUTE(SUBSTITUTE($T45,"$",""),",",""))),VALUE(SUBSTITUTE(SUBSTITUTE($T45,"$",""),",",""))-AP45,""),"")</f>
        <v/>
      </c>
      <c r="BB45" s="80">
        <f>AL45</f>
        <v/>
      </c>
      <c r="BC45" s="80">
        <f>IFERROR(IF(AND(AL45&gt;0,AL45&lt;VALUE(SUBSTITUTE(SUBSTITUTE($T45,"$",""),",",""))),VALUE(SUBSTITUTE(SUBSTITUTE($T45,"$",""),",",""))-AL45,""),"")</f>
        <v/>
      </c>
      <c r="BD45">
        <f t="array" ref="BD45">IFERROR(_xlfn.LET(_xlpm.current,VALUE(SUBSTITUTE(SUBSTITUTE($T45,"$",""),",","")),_xlpm.quotes,AF45:AY45,_xlpm.lowest,_xlfn.MINIFS(_xlpm.quotes,_xlpm.quotes,"&lt;"&amp;_xlpm.current,_xlpm.quotes,"&gt;0"),IF(_xlpm.lowest="","",SUBSTITUTE(INDEX($AF$1:$AY$1,1,MATCH(_xlpm.lowest,_xlpm.quotes,0))," Monthly Quote",""))),"")</f>
        <v/>
      </c>
      <c r="BE45" s="80">
        <f t="array" ref="BE45">IFERROR(_xlfn.LET(_xlpm.current,VALUE(SUBSTITUTE(SUBSTITUTE($T45,"$",""),",","")),_xlpm.quotes,AF45:AY45,_xlpm.lowest,_xlfn.MINIFS(_xlpm.quotes,_xlpm.quotes,"&lt;"&amp;_xlpm.current,_xlpm.quotes,"&gt;0"),IF(_xlpm.lowest="","",_xlpm.current-_xlpm.lowest)),"")</f>
        <v/>
      </c>
    </row>
    <row r="46">
      <c r="A46" s="67" t="inlineStr">
        <is>
          <t>Ivanka</t>
        </is>
      </c>
      <c r="B46" s="67" t="inlineStr">
        <is>
          <t>Shopovski</t>
        </is>
      </c>
      <c r="C46" s="68" t="n">
        <v>6142355775</v>
      </c>
      <c r="D46" s="68" t="n">
        <v>82</v>
      </c>
      <c r="E46" s="69" t="n">
        <v>15943</v>
      </c>
      <c r="F46" s="67" t="inlineStr">
        <is>
          <t>F</t>
        </is>
      </c>
      <c r="G46" s="67" t="inlineStr">
        <is>
          <t>614 Bernhard Rd Columbus OH 43213</t>
        </is>
      </c>
      <c r="H46" s="67" t="inlineStr">
        <is>
          <t>Macedonia</t>
        </is>
      </c>
      <c r="I46" s="68" t="n">
        <v>5.4</v>
      </c>
      <c r="J46" s="68" t="n">
        <v>120</v>
      </c>
      <c r="K46" s="67" t="inlineStr">
        <is>
          <t>No</t>
        </is>
      </c>
      <c r="L46" s="67" t="n"/>
      <c r="M46" s="67" t="inlineStr">
        <is>
          <t>Burial</t>
        </is>
      </c>
      <c r="N46" s="67" t="inlineStr">
        <is>
          <t>Zoran Shopovski - 09 01 1965</t>
        </is>
      </c>
      <c r="O46" s="67" t="inlineStr">
        <is>
          <t>Son</t>
        </is>
      </c>
      <c r="P46" s="67" t="n"/>
      <c r="Q46" s="67" t="n"/>
      <c r="R46" s="67" t="inlineStr">
        <is>
          <t>CICA</t>
        </is>
      </c>
      <c r="S46" s="70" t="n">
        <v>3000</v>
      </c>
      <c r="T46" s="68" t="n">
        <v>84.66</v>
      </c>
      <c r="U46" s="69" t="n">
        <v>45966</v>
      </c>
      <c r="V46" s="69" t="n">
        <v>45966</v>
      </c>
      <c r="W46" s="68" t="n">
        <v>291547868</v>
      </c>
      <c r="X46" s="67" t="inlineStr">
        <is>
          <t>Nil</t>
        </is>
      </c>
      <c r="Y46" s="67" t="inlineStr">
        <is>
          <t>Fifth Third Bank</t>
        </is>
      </c>
      <c r="Z46" s="68" t="n">
        <v>44002161</v>
      </c>
      <c r="AA46" s="68" t="n">
        <v>7923997576</v>
      </c>
      <c r="AB46" s="67" t="inlineStr">
        <is>
          <t>Nil</t>
        </is>
      </c>
      <c r="AC46" s="67" t="inlineStr">
        <is>
          <t>Nil</t>
        </is>
      </c>
      <c r="AD46" s="67" t="inlineStr">
        <is>
          <t>N/A</t>
        </is>
      </c>
      <c r="AE46" s="68" t="n">
        <v>82</v>
      </c>
      <c r="AF46" s="80">
        <f t="array" ref="AF46">IFERROR(_xlfn.LET(_xlpm.rate,INDEX(aflac!$B$2:$E$37,MATCH($AE46,aflac!$A$2:$A$37,0),IF(LOWER(TRIM($F46))="male",IF(LOWER(TRIM($K46))="yes",2,1),IF(LOWER(TRIM($K46))="yes",4,3))),_xlpm.coverage,VALUE(SUBSTITUTE(SUBSTITUTE($S46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6" s="80">
        <f t="array" ref="AG46">IFERROR(_xlfn.LET(_xlpm.rate,INDEX('aflac-modified'!$B$2:$C$32,MATCH($AE46,'aflac-modified'!$A$2:$A$32,0),IF(LOWER(TRIM($F46))="male",1,2)),_xlpm.coverage,VALUE(SUBSTITUTE(SUBSTITUTE($S46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6" s="80">
        <f t="array" ref="AH46">IFERROR(_xlfn.LET(_xlpm.rate,INDEX(SBLI!$B$2:$E$37,MATCH($AE46,SBLI!$A$2:$A$37,0),IF(LOWER(TRIM($F46))="male",IF(LOWER(TRIM($K46))="yes",2,1),IF(LOWER(TRIM($K46))="yes",4,3))),_xlpm.coverage,VALUE(SUBSTITUTE(SUBSTITUTE($S46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6" s="80">
        <f t="array" ref="AI46">IFERROR(_xlfn.LET(_xlpm.rate,INDEX('SBLI-Modified'!$B$2:$E$27,MATCH($AE46,'SBLI-Modified'!$A$2:$A$27,0),IF(LOWER(TRIM($F46))="male",IF(LOWER(TRIM($K46))="yes",2,1),IF(LOWER(TRIM($K46))="yes",4,3))),_xlpm.coverage,VALUE(SUBSTITUTE(SUBSTITUTE($S46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6" s="80">
        <f t="array" ref="AJ46">IFERROR(_xlfn.LET(_xlpm.rate,INDEX(CICA!$B$2:$C$42,MATCH($AE46,CICA!$A$2:$A$42,0),IF(LOWER(TRIM($F46))="male",1,2)),_xlpm.coverage,VALUE(SUBSTITUTE(SUBSTITUTE($S46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6" s="80">
        <f t="array" ref="AK46">IFERROR(_xlfn.LET(_xlpm.rate,INDEX('CICA-GI'!$B$2:$C$47,MATCH($AE46,'CICA-GI'!$A$2:$A$47,0),IF(LOWER(TRIM($F46))="male",1,2)),_xlpm.coverage,VALUE(SUBSTITUTE(SUBSTITUTE($S46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6" s="80">
        <f t="array" ref="AL46">IFERROR(_xlfn.LET(_xlpm.rate,INDEX(gtl!$B$2:$C$52,MATCH($AE46,gtl!$A$2:$A$52,0),IF(LOWER(TRIM($F46))="male",1,2)),_xlpm.coverage,VALUE(SUBSTITUTE(SUBSTITUTE($S46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6" s="80">
        <f t="array" ref="AM46">IFERROR(_xlfn.LET(_xlpm.rate,INDEX(TransAmerica!$B$2:$E$69,MATCH($AE46,TransAmerica!$A$2:$A$69,0),IF(LOWER(TRIM($F46))="male",IF(LOWER(TRIM($K46))="yes",2,1),IF(LOWER(TRIM($K46))="yes",4,3))),_xlpm.coverage,VALUE(SUBSTITUTE(SUBSTITUTE($S46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6" s="80">
        <f t="array" ref="AN46">IFERROR(_xlfn.LET(_xlpm.rate,INDEX('TransAmerica Graded'!$B$2:$E$64,MATCH($AE46,'TransAmerica Graded'!$A$2:$A$64,0),IF(LOWER(TRIM($F46))="male",IF(LOWER(TRIM($K46))="yes",2,1),IF(LOWER(TRIM($K46))="yes",4,3))),_xlpm.coverage,VALUE(SUBSTITUTE(SUBSTITUTE($S46,"$",""),",","")),_xlpm.base,_xlpm.rate*(_xlpm.coverage/1000),_xlpm.fee,_xlfn.XLOOKUP("TransAmerica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6" s="80">
        <f t="array" ref="AO46">IFERROR(_xlfn.LET(_xlpm.rate,INDEX(Corebridge!$B$2:$C$32,MATCH($AE46,Corebridge!$A$2:$A$32,0),IF(LOWER(TRIM($F46))="male",1,2)),_xlpm.coverage,VALUE(SUBSTITUTE(SUBSTITUTE($S46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6" s="80">
        <f t="array" ref="AP46">IFERROR(_xlfn.LET(_xlpm.rate,INDEX(amam!$B$2:$E$37,MATCH($AE46,amam!$A$2:$A$37,0),IF(LOWER(TRIM($F46))="male",IF(LOWER(TRIM($K46))="yes",2,1),IF(LOWER(TRIM($K46))="yes",4,3))),_xlpm.coverage,VALUE(SUBSTITUTE(SUBSTITUTE($S46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6" s="80">
        <f t="array" ref="AQ46">IFERROR(_xlfn.LET(_xlpm.rate,INDEX('amam-graded'!$B$2:$E$37,MATCH($AE46,'amam-graded'!$A$2:$A$37,0),IF(LOWER(TRIM($F46))="male",IF(LOWER(TRIM($K46))="yes",2,1),IF(LOWER(TRIM($K46))="yes",4,3))),_xlpm.coverage,VALUE(SUBSTITUTE(SUBSTITUTE($S46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6" s="80">
        <f t="array" ref="AR46">IFERROR(_xlfn.LET(_xlpm.rate,INDEX('amam-return-or-premium'!$B$2:$E$37,MATCH($AE46,'amam-return-or-premium'!$A$2:$A$37,0),IF(LOWER(TRIM($F46))="male",IF(LOWER(TRIM($K46))="yes",2,1),IF(LOWER(TRIM($K46))="yes",4,3))),_xlpm.coverage,VALUE(SUBSTITUTE(SUBSTITUTE($S46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6" s="80">
        <f t="array" ref="AS46">IFERROR(_xlfn.LET(_xlpm.rate,INDEX(AHL!$B$2:$E$37,MATCH($AE46,AHL!$A$2:$A$37,0),IF(LOWER(TRIM($F46))="male",IF(LOWER(TRIM($K46))="yes",2,1),IF(LOWER(TRIM($K46))="yes",4,3))),_xlpm.coverage,VALUE(SUBSTITUTE(SUBSTITUTE($S46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6" s="80">
        <f t="array" ref="AT46">IFERROR(_xlfn.LET(_xlpm.rate,INDEX('AHL-Graded'!$B$2:$E$32,MATCH($AE46,'AHL-Graded'!$A$2:$A$32,0),IF(LOWER(TRIM($F46))="male",IF(LOWER(TRIM($K46))="yes",2,1),IF(LOWER(TRIM($K46))="yes",4,3))),_xlpm.coverage,VALUE(SUBSTITUTE(SUBSTITUTE($S46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6" s="80">
        <f t="array" ref="AU46">IFERROR(_xlfn.LET(_xlpm.rate,INDEX('Royal Neighbors'!$B$2:$E$37,MATCH($AE46,'Royal Neighbors'!$A$2:$A$37,0),IF(LOWER(TRIM($F46))="male",IF(LOWER(TRIM($K46))="yes",2,1),IF(LOWER(TRIM($K46))="yes",4,3))),_xlpm.coverage,VALUE(SUBSTITUTE(SUBSTITUTE($S46,"$",""),",","")),_xlpm.base,_xlpm.rate*(_xlpm.coverage/1000),_xlpm.fee,_xlfn.XLOOKUP("Royal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6" s="80">
        <f t="array" ref="AV46">IFERROR(_xlfn.LET(_xlpm.rate,INDEX('Royal Neighbors-Graded'!$B$2:$E$37,MATCH($AE46,'Royal Neighbors-Graded'!$A$2:$A$37,0),IF(LOWER(TRIM($F46))="male",IF(LOWER(TRIM($K46))="yes",2,1),IF(LOWER(TRIM($K46))="yes",4,3))),_xlpm.coverage,VALUE(SUBSTITUTE(SUBSTITUTE($S46,"$",""),",","")),_xlpm.base,_xlpm.rate*(_xlpm.coverage/1000),_xlpm.fee,_xlfn.XLOOKUP("Royal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6" s="80">
        <f t="array" ref="AW46">IFERROR(_xlfn.LET(_xlpm.rate,INDEX('Gerber-GI'!$B$2:$C$32,MATCH($AE46,'Gerber-GI'!$A$2:$A$32,0),IF(LOWER(TRIM($F46))="male",1,2)),_xlpm.coverage,VALUE(SUBSTITUTE(SUBSTITUTE($S46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6" s="80">
        <f t="array" ref="AX46">IFERROR(_xlfn.LET(_xlpm.rate,INDEX('Mutual of Omaha'!$B$2:$E$42,MATCH($AE46,'Mutual of Omaha'!$A$2:$A$42,0),IF(LOWER(TRIM($F46))="male",IF(LOWER(TRIM($K46))="yes",2,1),IF(LOWER(TRIM($K46))="yes",4,3))),_xlpm.coverage,VALUE(SUBSTITUTE(SUBSTITUTE($S46,"$",""),",","")),_xlpm.base,_xlpm.rate*(_xlpm.coverage/1000),_xlpm.fee,_xlfn.XLOOKUP("Mutal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6" s="80">
        <f t="array" ref="AY46">IFERROR(_xlfn.LET(_xlpm.rate,INDEX('Mutual of Omaha-Graded'!$B$2:$E$37,MATCH($AE46,'Mutual of Omaha-Graded'!$A$2:$A$37,0),IF(LOWER(TRIM($F46))="male",IF(LOWER(TRIM($K46))="yes",2,1),IF(LOWER(TRIM($K46))="yes",4,3))),_xlpm.coverage,VALUE(SUBSTITUTE(SUBSTITUTE($S46,"$",""),",","")),_xlpm.base,_xlpm.rate*(_xlpm.coverage/1000),_xlpm.fee,_xlfn.XLOOKUP("Mutual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6" s="80">
        <f>AP46</f>
        <v/>
      </c>
      <c r="BA46" s="80">
        <f>IFERROR(IF(AND(AP46&gt;0,AP46&lt;VALUE(SUBSTITUTE(SUBSTITUTE($T46,"$",""),",",""))),VALUE(SUBSTITUTE(SUBSTITUTE($T46,"$",""),",",""))-AP46,""),"")</f>
        <v/>
      </c>
      <c r="BB46" s="80">
        <f>AL46</f>
        <v/>
      </c>
      <c r="BC46" s="80">
        <f>IFERROR(IF(AND(AL46&gt;0,AL46&lt;VALUE(SUBSTITUTE(SUBSTITUTE($T46,"$",""),",",""))),VALUE(SUBSTITUTE(SUBSTITUTE($T46,"$",""),",",""))-AL46,""),"")</f>
        <v/>
      </c>
      <c r="BD46">
        <f t="array" ref="BD46">IFERROR(_xlfn.LET(_xlpm.current,VALUE(SUBSTITUTE(SUBSTITUTE($T46,"$",""),",","")),_xlpm.quotes,AF46:AY46,_xlpm.lowest,_xlfn.MINIFS(_xlpm.quotes,_xlpm.quotes,"&lt;"&amp;_xlpm.current,_xlpm.quotes,"&gt;0"),IF(_xlpm.lowest="","",SUBSTITUTE(INDEX($AF$1:$AY$1,1,MATCH(_xlpm.lowest,_xlpm.quotes,0))," Monthly Quote",""))),"")</f>
        <v/>
      </c>
      <c r="BE46" s="80">
        <f t="array" ref="BE46">IFERROR(_xlfn.LET(_xlpm.current,VALUE(SUBSTITUTE(SUBSTITUTE($T46,"$",""),",","")),_xlpm.quotes,AF46:AY46,_xlpm.lowest,_xlfn.MINIFS(_xlpm.quotes,_xlpm.quotes,"&lt;"&amp;_xlpm.current,_xlpm.quotes,"&gt;0"),IF(_xlpm.lowest="","",_xlpm.current-_xlpm.lowest)),"")</f>
        <v/>
      </c>
    </row>
    <row r="47">
      <c r="A47" s="67" t="inlineStr">
        <is>
          <t>Susan E</t>
        </is>
      </c>
      <c r="B47" s="67" t="inlineStr">
        <is>
          <t>Burnett</t>
        </is>
      </c>
      <c r="C47" s="68" t="n">
        <v>3603933129</v>
      </c>
      <c r="D47" s="68" t="n">
        <v>73</v>
      </c>
      <c r="E47" s="69" t="n">
        <v>19321</v>
      </c>
      <c r="F47" s="67" t="inlineStr">
        <is>
          <t>Female</t>
        </is>
      </c>
      <c r="G47" s="67" t="inlineStr">
        <is>
          <t>4878 Beach Way Ferndale WA 98248</t>
        </is>
      </c>
      <c r="H47" s="67" t="inlineStr">
        <is>
          <t>MA</t>
        </is>
      </c>
      <c r="I47" s="68" t="n">
        <v>5.2</v>
      </c>
      <c r="J47" s="68" t="n">
        <v>101</v>
      </c>
      <c r="K47" s="67" t="inlineStr">
        <is>
          <t>No</t>
        </is>
      </c>
      <c r="L47" s="67" t="n"/>
      <c r="M47" s="67" t="inlineStr">
        <is>
          <t>Burial</t>
        </is>
      </c>
      <c r="N47" s="67" t="inlineStr">
        <is>
          <t>Raven Burnett</t>
        </is>
      </c>
      <c r="O47" s="67" t="inlineStr">
        <is>
          <t>Son</t>
        </is>
      </c>
      <c r="P47" s="67" t="n"/>
      <c r="Q47" s="67" t="n"/>
      <c r="R47" s="67" t="inlineStr">
        <is>
          <t>CICA</t>
        </is>
      </c>
      <c r="S47" s="70" t="n">
        <v>2500</v>
      </c>
      <c r="T47" s="68" t="n">
        <v>43.57</v>
      </c>
      <c r="U47" s="69" t="n">
        <v>45973</v>
      </c>
      <c r="V47" s="69" t="n">
        <v>46001</v>
      </c>
      <c r="W47" s="68" t="n">
        <v>533582519</v>
      </c>
      <c r="X47" s="67" t="inlineStr">
        <is>
          <t>NIL</t>
        </is>
      </c>
      <c r="Y47" s="67" t="inlineStr">
        <is>
          <t>Whatcom Educational CU</t>
        </is>
      </c>
      <c r="Z47" s="68" t="n">
        <v>325180113</v>
      </c>
      <c r="AA47" s="68" t="n">
        <v>10001316297</v>
      </c>
      <c r="AB47" s="67" t="inlineStr">
        <is>
          <t>N/A</t>
        </is>
      </c>
      <c r="AC47" s="67" t="inlineStr">
        <is>
          <t>N/A</t>
        </is>
      </c>
      <c r="AD47" s="67" t="inlineStr">
        <is>
          <t>Nil</t>
        </is>
      </c>
      <c r="AE47" s="68" t="n">
        <v>73</v>
      </c>
      <c r="AF47" s="80">
        <f t="array" ref="AF47">IFERROR(_xlfn.LET(_xlpm.rate,INDEX(aflac!$B$2:$E$37,MATCH($AE47,aflac!$A$2:$A$37,0),IF(LOWER(TRIM($F47))="male",IF(LOWER(TRIM($K47))="yes",2,1),IF(LOWER(TRIM($K47))="yes",4,3))),_xlpm.coverage,VALUE(SUBSTITUTE(SUBSTITUTE($S47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7" s="80">
        <f t="array" ref="AG47">IFERROR(_xlfn.LET(_xlpm.rate,INDEX('aflac-modified'!$B$2:$C$32,MATCH($AE47,'aflac-modified'!$A$2:$A$32,0),IF(LOWER(TRIM($F47))="male",1,2)),_xlpm.coverage,VALUE(SUBSTITUTE(SUBSTITUTE($S47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7" s="80">
        <f t="array" ref="AH47">IFERROR(_xlfn.LET(_xlpm.rate,INDEX(SBLI!$B$2:$E$37,MATCH($AE47,SBLI!$A$2:$A$37,0),IF(LOWER(TRIM($F47))="male",IF(LOWER(TRIM($K47))="yes",2,1),IF(LOWER(TRIM($K47))="yes",4,3))),_xlpm.coverage,VALUE(SUBSTITUTE(SUBSTITUTE($S47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7" s="80">
        <f t="array" ref="AI47">IFERROR(_xlfn.LET(_xlpm.rate,INDEX('SBLI-Modified'!$B$2:$E$27,MATCH($AE47,'SBLI-Modified'!$A$2:$A$27,0),IF(LOWER(TRIM($F47))="male",IF(LOWER(TRIM($K47))="yes",2,1),IF(LOWER(TRIM($K47))="yes",4,3))),_xlpm.coverage,VALUE(SUBSTITUTE(SUBSTITUTE($S47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7" s="80">
        <f t="array" ref="AJ47">IFERROR(_xlfn.LET(_xlpm.rate,INDEX(CICA!$B$2:$C$42,MATCH($AE47,CICA!$A$2:$A$42,0),IF(LOWER(TRIM($F47))="male",1,2)),_xlpm.coverage,VALUE(SUBSTITUTE(SUBSTITUTE($S47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7" s="80">
        <f t="array" ref="AK47">IFERROR(_xlfn.LET(_xlpm.rate,INDEX('CICA-GI'!$B$2:$C$47,MATCH($AE47,'CICA-GI'!$A$2:$A$47,0),IF(LOWER(TRIM($F47))="male",1,2)),_xlpm.coverage,VALUE(SUBSTITUTE(SUBSTITUTE($S47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7" s="80">
        <f t="array" ref="AL47">IFERROR(_xlfn.LET(_xlpm.rate,INDEX(gtl!$B$2:$C$52,MATCH($AE47,gtl!$A$2:$A$52,0),IF(LOWER(TRIM($F47))="male",1,2)),_xlpm.coverage,VALUE(SUBSTITUTE(SUBSTITUTE($S47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7" s="80">
        <f t="array" ref="AM47">IFERROR(_xlfn.LET(_xlpm.rate,INDEX(TransAmerica!$B$2:$E$69,MATCH($AE47,TransAmerica!$A$2:$A$69,0),IF(LOWER(TRIM($F47))="male",IF(LOWER(TRIM($K47))="yes",2,1),IF(LOWER(TRIM($K47))="yes",4,3))),_xlpm.coverage,VALUE(SUBSTITUTE(SUBSTITUTE($S47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7" s="80">
        <f t="array" ref="AN47">IFERROR(_xlfn.LET(_xlpm.rate,INDEX('TransAmerica Graded'!$B$2:$E$64,MATCH($AE47,'TransAmerica Graded'!$A$2:$A$64,0),IF(LOWER(TRIM($F47))="male",IF(LOWER(TRIM($K47))="yes",2,1),IF(LOWER(TRIM($K47))="yes",4,3))),_xlpm.coverage,VALUE(SUBSTITUTE(SUBSTITUTE($S47,"$",""),",","")),_xlpm.base,_xlpm.rate*(_xlpm.coverage/1000),_xlpm.fee,_xlfn.XLOOKUP("TransAmerica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7" s="80">
        <f t="array" ref="AO47">IFERROR(_xlfn.LET(_xlpm.rate,INDEX(Corebridge!$B$2:$C$32,MATCH($AE47,Corebridge!$A$2:$A$32,0),IF(LOWER(TRIM($F47))="male",1,2)),_xlpm.coverage,VALUE(SUBSTITUTE(SUBSTITUTE($S47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7" s="80">
        <f t="array" ref="AP47">IFERROR(_xlfn.LET(_xlpm.rate,INDEX(amam!$B$2:$E$37,MATCH($AE47,amam!$A$2:$A$37,0),IF(LOWER(TRIM($F47))="male",IF(LOWER(TRIM($K47))="yes",2,1),IF(LOWER(TRIM($K47))="yes",4,3))),_xlpm.coverage,VALUE(SUBSTITUTE(SUBSTITUTE($S47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7" s="80">
        <f t="array" ref="AQ47">IFERROR(_xlfn.LET(_xlpm.rate,INDEX('amam-graded'!$B$2:$E$37,MATCH($AE47,'amam-graded'!$A$2:$A$37,0),IF(LOWER(TRIM($F47))="male",IF(LOWER(TRIM($K47))="yes",2,1),IF(LOWER(TRIM($K47))="yes",4,3))),_xlpm.coverage,VALUE(SUBSTITUTE(SUBSTITUTE($S47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7" s="80">
        <f t="array" ref="AR47">IFERROR(_xlfn.LET(_xlpm.rate,INDEX('amam-return-or-premium'!$B$2:$E$37,MATCH($AE47,'amam-return-or-premium'!$A$2:$A$37,0),IF(LOWER(TRIM($F47))="male",IF(LOWER(TRIM($K47))="yes",2,1),IF(LOWER(TRIM($K47))="yes",4,3))),_xlpm.coverage,VALUE(SUBSTITUTE(SUBSTITUTE($S47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7" s="80">
        <f t="array" ref="AS47">IFERROR(_xlfn.LET(_xlpm.rate,INDEX(AHL!$B$2:$E$37,MATCH($AE47,AHL!$A$2:$A$37,0),IF(LOWER(TRIM($F47))="male",IF(LOWER(TRIM($K47))="yes",2,1),IF(LOWER(TRIM($K47))="yes",4,3))),_xlpm.coverage,VALUE(SUBSTITUTE(SUBSTITUTE($S47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7" s="80">
        <f t="array" ref="AT47">IFERROR(_xlfn.LET(_xlpm.rate,INDEX('AHL-Graded'!$B$2:$E$32,MATCH($AE47,'AHL-Graded'!$A$2:$A$32,0),IF(LOWER(TRIM($F47))="male",IF(LOWER(TRIM($K47))="yes",2,1),IF(LOWER(TRIM($K47))="yes",4,3))),_xlpm.coverage,VALUE(SUBSTITUTE(SUBSTITUTE($S47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7" s="80">
        <f t="array" ref="AU47">IFERROR(_xlfn.LET(_xlpm.rate,INDEX('Royal Neighbors'!$B$2:$E$37,MATCH($AE47,'Royal Neighbors'!$A$2:$A$37,0),IF(LOWER(TRIM($F47))="male",IF(LOWER(TRIM($K47))="yes",2,1),IF(LOWER(TRIM($K47))="yes",4,3))),_xlpm.coverage,VALUE(SUBSTITUTE(SUBSTITUTE($S47,"$",""),",","")),_xlpm.base,_xlpm.rate*(_xlpm.coverage/1000),_xlpm.fee,_xlfn.XLOOKUP("Royal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7" s="80">
        <f t="array" ref="AV47">IFERROR(_xlfn.LET(_xlpm.rate,INDEX('Royal Neighbors-Graded'!$B$2:$E$37,MATCH($AE47,'Royal Neighbors-Graded'!$A$2:$A$37,0),IF(LOWER(TRIM($F47))="male",IF(LOWER(TRIM($K47))="yes",2,1),IF(LOWER(TRIM($K47))="yes",4,3))),_xlpm.coverage,VALUE(SUBSTITUTE(SUBSTITUTE($S47,"$",""),",","")),_xlpm.base,_xlpm.rate*(_xlpm.coverage/1000),_xlpm.fee,_xlfn.XLOOKUP("Royal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7" s="80">
        <f t="array" ref="AW47">IFERROR(_xlfn.LET(_xlpm.rate,INDEX('Gerber-GI'!$B$2:$C$32,MATCH($AE47,'Gerber-GI'!$A$2:$A$32,0),IF(LOWER(TRIM($F47))="male",1,2)),_xlpm.coverage,VALUE(SUBSTITUTE(SUBSTITUTE($S47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7" s="80">
        <f t="array" ref="AX47">IFERROR(_xlfn.LET(_xlpm.rate,INDEX('Mutual of Omaha'!$B$2:$E$42,MATCH($AE47,'Mutual of Omaha'!$A$2:$A$42,0),IF(LOWER(TRIM($F47))="male",IF(LOWER(TRIM($K47))="yes",2,1),IF(LOWER(TRIM($K47))="yes",4,3))),_xlpm.coverage,VALUE(SUBSTITUTE(SUBSTITUTE($S47,"$",""),",","")),_xlpm.base,_xlpm.rate*(_xlpm.coverage/1000),_xlpm.fee,_xlfn.XLOOKUP("Mutal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7" s="80">
        <f t="array" ref="AY47">IFERROR(_xlfn.LET(_xlpm.rate,INDEX('Mutual of Omaha-Graded'!$B$2:$E$37,MATCH($AE47,'Mutual of Omaha-Graded'!$A$2:$A$37,0),IF(LOWER(TRIM($F47))="male",IF(LOWER(TRIM($K47))="yes",2,1),IF(LOWER(TRIM($K47))="yes",4,3))),_xlpm.coverage,VALUE(SUBSTITUTE(SUBSTITUTE($S47,"$",""),",","")),_xlpm.base,_xlpm.rate*(_xlpm.coverage/1000),_xlpm.fee,_xlfn.XLOOKUP("Mutual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7" s="80">
        <f>AP47</f>
        <v/>
      </c>
      <c r="BA47" s="80">
        <f>IFERROR(IF(AND(AP47&gt;0,AP47&lt;VALUE(SUBSTITUTE(SUBSTITUTE($T47,"$",""),",",""))),VALUE(SUBSTITUTE(SUBSTITUTE($T47,"$",""),",",""))-AP47,""),"")</f>
        <v/>
      </c>
      <c r="BB47" s="80">
        <f>AL47</f>
        <v/>
      </c>
      <c r="BC47" s="80">
        <f>IFERROR(IF(AND(AL47&gt;0,AL47&lt;VALUE(SUBSTITUTE(SUBSTITUTE($T47,"$",""),",",""))),VALUE(SUBSTITUTE(SUBSTITUTE($T47,"$",""),",",""))-AL47,""),"")</f>
        <v/>
      </c>
      <c r="BD47">
        <f t="array" ref="BD47">IFERROR(_xlfn.LET(_xlpm.current,VALUE(SUBSTITUTE(SUBSTITUTE($T47,"$",""),",","")),_xlpm.quotes,AF47:AY47,_xlpm.lowest,_xlfn.MINIFS(_xlpm.quotes,_xlpm.quotes,"&lt;"&amp;_xlpm.current,_xlpm.quotes,"&gt;0"),IF(_xlpm.lowest="","",SUBSTITUTE(INDEX($AF$1:$AY$1,1,MATCH(_xlpm.lowest,_xlpm.quotes,0))," Monthly Quote",""))),"")</f>
        <v/>
      </c>
      <c r="BE47" s="80">
        <f t="array" ref="BE47">IFERROR(_xlfn.LET(_xlpm.current,VALUE(SUBSTITUTE(SUBSTITUTE($T47,"$",""),",","")),_xlpm.quotes,AF47:AY47,_xlpm.lowest,_xlfn.MINIFS(_xlpm.quotes,_xlpm.quotes,"&lt;"&amp;_xlpm.current,_xlpm.quotes,"&gt;0"),IF(_xlpm.lowest="","",_xlpm.current-_xlpm.lowest)),"")</f>
        <v/>
      </c>
    </row>
    <row r="48" ht="14.25" customHeight="1">
      <c r="A48" s="63" t="inlineStr">
        <is>
          <t>Linda</t>
        </is>
      </c>
      <c r="B48" s="63" t="inlineStr">
        <is>
          <t>FIscher</t>
        </is>
      </c>
      <c r="C48" s="64" t="n">
        <v>5404344897</v>
      </c>
      <c r="D48" s="64" t="n">
        <v>81</v>
      </c>
      <c r="E48" s="65" t="n">
        <v>16255</v>
      </c>
      <c r="F48" s="63" t="inlineStr">
        <is>
          <t>F</t>
        </is>
      </c>
      <c r="G48" s="63" t="inlineStr">
        <is>
          <t>839 Grant St Harrisonburg, VA 22802</t>
        </is>
      </c>
      <c r="H48" s="63" t="inlineStr">
        <is>
          <t>WV</t>
        </is>
      </c>
      <c r="I48" s="64" t="n">
        <v>5.1</v>
      </c>
      <c r="J48" s="64" t="n">
        <v>120</v>
      </c>
      <c r="K48" s="63" t="inlineStr">
        <is>
          <t>No</t>
        </is>
      </c>
      <c r="L48" s="63" t="n"/>
      <c r="M48" s="63" t="inlineStr">
        <is>
          <t>Cremation</t>
        </is>
      </c>
      <c r="N48" s="63" t="inlineStr">
        <is>
          <t>Kelly Myers - 08 01 1968</t>
        </is>
      </c>
      <c r="O48" s="63" t="inlineStr">
        <is>
          <t>Niece</t>
        </is>
      </c>
      <c r="P48" s="63" t="n"/>
      <c r="Q48" s="63" t="n"/>
      <c r="R48" s="63" t="inlineStr">
        <is>
          <t>CICA</t>
        </is>
      </c>
      <c r="S48" s="66" t="n">
        <v>2500</v>
      </c>
      <c r="T48" s="64" t="n">
        <v>66.45</v>
      </c>
      <c r="U48" s="65" t="n">
        <v>45992</v>
      </c>
      <c r="V48" s="65" t="n">
        <v>46023</v>
      </c>
      <c r="W48" s="64" t="n">
        <v>224662923</v>
      </c>
      <c r="X48" s="63" t="inlineStr">
        <is>
          <t>N/A</t>
        </is>
      </c>
      <c r="Y48" s="63" t="inlineStr">
        <is>
          <t>Wells Fargo</t>
        </is>
      </c>
      <c r="Z48" s="64" t="n">
        <v>51400549</v>
      </c>
      <c r="AA48" s="78" t="n">
        <v>1050000000000</v>
      </c>
      <c r="AB48" s="63" t="inlineStr">
        <is>
          <t>CHF Multiple Sclerosis (MS)</t>
        </is>
      </c>
      <c r="AC48" s="63" t="inlineStr">
        <is>
          <t>CHF Multiple Sclerosis (MS)</t>
        </is>
      </c>
      <c r="AD48" s="63" t="inlineStr">
        <is>
          <t>Lidiya Gutnikova</t>
        </is>
      </c>
      <c r="AE48" s="64" t="n">
        <v>81</v>
      </c>
      <c r="AF48" s="80">
        <f t="array" ref="AF48">IFERROR(_xlfn.LET(_xlpm.rate,INDEX(aflac!$B$2:$E$37,MATCH($AE48,aflac!$A$2:$A$37,0),IF(LOWER(TRIM($F48))="male",IF(LOWER(TRIM($K48))="yes",2,1),IF(LOWER(TRIM($K48))="yes",4,3))),_xlpm.coverage,VALUE(SUBSTITUTE(SUBSTITUTE($S48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8" s="80">
        <f t="array" ref="AG48">IFERROR(_xlfn.LET(_xlpm.rate,INDEX('aflac-modified'!$B$2:$C$32,MATCH($AE48,'aflac-modified'!$A$2:$A$32,0),IF(LOWER(TRIM($F48))="male",1,2)),_xlpm.coverage,VALUE(SUBSTITUTE(SUBSTITUTE($S48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8" s="80">
        <f t="array" ref="AH48">IFERROR(_xlfn.LET(_xlpm.rate,INDEX(SBLI!$B$2:$E$37,MATCH($AE48,SBLI!$A$2:$A$37,0),IF(LOWER(TRIM($F48))="male",IF(LOWER(TRIM($K48))="yes",2,1),IF(LOWER(TRIM($K48))="yes",4,3))),_xlpm.coverage,VALUE(SUBSTITUTE(SUBSTITUTE($S48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8" s="80">
        <f t="array" ref="AI48">IFERROR(_xlfn.LET(_xlpm.rate,INDEX('SBLI-Modified'!$B$2:$E$27,MATCH($AE48,'SBLI-Modified'!$A$2:$A$27,0),IF(LOWER(TRIM($F48))="male",IF(LOWER(TRIM($K48))="yes",2,1),IF(LOWER(TRIM($K48))="yes",4,3))),_xlpm.coverage,VALUE(SUBSTITUTE(SUBSTITUTE($S48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8" s="80">
        <f t="array" ref="AJ48">IFERROR(_xlfn.LET(_xlpm.rate,INDEX(CICA!$B$2:$C$42,MATCH($AE48,CICA!$A$2:$A$42,0),IF(LOWER(TRIM($F48))="male",1,2)),_xlpm.coverage,VALUE(SUBSTITUTE(SUBSTITUTE($S48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8" s="80">
        <f t="array" ref="AK48">IFERROR(_xlfn.LET(_xlpm.rate,INDEX('CICA-GI'!$B$2:$C$47,MATCH($AE48,'CICA-GI'!$A$2:$A$47,0),IF(LOWER(TRIM($F48))="male",1,2)),_xlpm.coverage,VALUE(SUBSTITUTE(SUBSTITUTE($S48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8" s="80">
        <f t="array" ref="AL48">IFERROR(_xlfn.LET(_xlpm.rate,INDEX(gtl!$B$2:$C$52,MATCH($AE48,gtl!$A$2:$A$52,0),IF(LOWER(TRIM($F48))="male",1,2)),_xlpm.coverage,VALUE(SUBSTITUTE(SUBSTITUTE($S48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8" s="80">
        <f t="array" ref="AM48">IFERROR(_xlfn.LET(_xlpm.rate,INDEX(TransAmerica!$B$2:$E$69,MATCH($AE48,TransAmerica!$A$2:$A$69,0),IF(LOWER(TRIM($F48))="male",IF(LOWER(TRIM($K48))="yes",2,1),IF(LOWER(TRIM($K48))="yes",4,3))),_xlpm.coverage,VALUE(SUBSTITUTE(SUBSTITUTE($S48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8" s="80">
        <f t="array" ref="AN48">IFERROR(_xlfn.LET(_xlpm.rate,INDEX('TransAmerica Graded'!$B$2:$E$64,MATCH($AE48,'TransAmerica Graded'!$A$2:$A$64,0),IF(LOWER(TRIM($F48))="male",IF(LOWER(TRIM($K48))="yes",2,1),IF(LOWER(TRIM($K48))="yes",4,3))),_xlpm.coverage,VALUE(SUBSTITUTE(SUBSTITUTE($S48,"$",""),",","")),_xlpm.base,_xlpm.rate*(_xlpm.coverage/1000),_xlpm.fee,_xlfn.XLOOKUP("TransAmerica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8" s="80">
        <f t="array" ref="AO48">IFERROR(_xlfn.LET(_xlpm.rate,INDEX(Corebridge!$B$2:$C$32,MATCH($AE48,Corebridge!$A$2:$A$32,0),IF(LOWER(TRIM($F48))="male",1,2)),_xlpm.coverage,VALUE(SUBSTITUTE(SUBSTITUTE($S48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8" s="80">
        <f t="array" ref="AP48">IFERROR(_xlfn.LET(_xlpm.rate,INDEX(amam!$B$2:$E$37,MATCH($AE48,amam!$A$2:$A$37,0),IF(LOWER(TRIM($F48))="male",IF(LOWER(TRIM($K48))="yes",2,1),IF(LOWER(TRIM($K48))="yes",4,3))),_xlpm.coverage,VALUE(SUBSTITUTE(SUBSTITUTE($S48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8" s="80">
        <f t="array" ref="AQ48">IFERROR(_xlfn.LET(_xlpm.rate,INDEX('amam-graded'!$B$2:$E$37,MATCH($AE48,'amam-graded'!$A$2:$A$37,0),IF(LOWER(TRIM($F48))="male",IF(LOWER(TRIM($K48))="yes",2,1),IF(LOWER(TRIM($K48))="yes",4,3))),_xlpm.coverage,VALUE(SUBSTITUTE(SUBSTITUTE($S48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8" s="80">
        <f t="array" ref="AR48">IFERROR(_xlfn.LET(_xlpm.rate,INDEX('amam-return-or-premium'!$B$2:$E$37,MATCH($AE48,'amam-return-or-premium'!$A$2:$A$37,0),IF(LOWER(TRIM($F48))="male",IF(LOWER(TRIM($K48))="yes",2,1),IF(LOWER(TRIM($K48))="yes",4,3))),_xlpm.coverage,VALUE(SUBSTITUTE(SUBSTITUTE($S48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8" s="80">
        <f t="array" ref="AS48">IFERROR(_xlfn.LET(_xlpm.rate,INDEX(AHL!$B$2:$E$37,MATCH($AE48,AHL!$A$2:$A$37,0),IF(LOWER(TRIM($F48))="male",IF(LOWER(TRIM($K48))="yes",2,1),IF(LOWER(TRIM($K48))="yes",4,3))),_xlpm.coverage,VALUE(SUBSTITUTE(SUBSTITUTE($S48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8" s="80">
        <f t="array" ref="AT48">IFERROR(_xlfn.LET(_xlpm.rate,INDEX('AHL-Graded'!$B$2:$E$32,MATCH($AE48,'AHL-Graded'!$A$2:$A$32,0),IF(LOWER(TRIM($F48))="male",IF(LOWER(TRIM($K48))="yes",2,1),IF(LOWER(TRIM($K48))="yes",4,3))),_xlpm.coverage,VALUE(SUBSTITUTE(SUBSTITUTE($S48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8" s="80">
        <f t="array" ref="AU48">IFERROR(_xlfn.LET(_xlpm.rate,INDEX('Royal Neighbors'!$B$2:$E$37,MATCH($AE48,'Royal Neighbors'!$A$2:$A$37,0),IF(LOWER(TRIM($F48))="male",IF(LOWER(TRIM($K48))="yes",2,1),IF(LOWER(TRIM($K48))="yes",4,3))),_xlpm.coverage,VALUE(SUBSTITUTE(SUBSTITUTE($S48,"$",""),",","")),_xlpm.base,_xlpm.rate*(_xlpm.coverage/1000),_xlpm.fee,_xlfn.XLOOKUP("Royal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8" s="80">
        <f t="array" ref="AV48">IFERROR(_xlfn.LET(_xlpm.rate,INDEX('Royal Neighbors-Graded'!$B$2:$E$37,MATCH($AE48,'Royal Neighbors-Graded'!$A$2:$A$37,0),IF(LOWER(TRIM($F48))="male",IF(LOWER(TRIM($K48))="yes",2,1),IF(LOWER(TRIM($K48))="yes",4,3))),_xlpm.coverage,VALUE(SUBSTITUTE(SUBSTITUTE($S48,"$",""),",","")),_xlpm.base,_xlpm.rate*(_xlpm.coverage/1000),_xlpm.fee,_xlfn.XLOOKUP("Royal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8" s="80">
        <f t="array" ref="AW48">IFERROR(_xlfn.LET(_xlpm.rate,INDEX('Gerber-GI'!$B$2:$C$32,MATCH($AE48,'Gerber-GI'!$A$2:$A$32,0),IF(LOWER(TRIM($F48))="male",1,2)),_xlpm.coverage,VALUE(SUBSTITUTE(SUBSTITUTE($S48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8" s="80">
        <f t="array" ref="AX48">IFERROR(_xlfn.LET(_xlpm.rate,INDEX('Mutual of Omaha'!$B$2:$E$42,MATCH($AE48,'Mutual of Omaha'!$A$2:$A$42,0),IF(LOWER(TRIM($F48))="male",IF(LOWER(TRIM($K48))="yes",2,1),IF(LOWER(TRIM($K48))="yes",4,3))),_xlpm.coverage,VALUE(SUBSTITUTE(SUBSTITUTE($S48,"$",""),",","")),_xlpm.base,_xlpm.rate*(_xlpm.coverage/1000),_xlpm.fee,_xlfn.XLOOKUP("Mutal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8" s="80">
        <f t="array" ref="AY48">IFERROR(_xlfn.LET(_xlpm.rate,INDEX('Mutual of Omaha-Graded'!$B$2:$E$37,MATCH($AE48,'Mutual of Omaha-Graded'!$A$2:$A$37,0),IF(LOWER(TRIM($F48))="male",IF(LOWER(TRIM($K48))="yes",2,1),IF(LOWER(TRIM($K48))="yes",4,3))),_xlpm.coverage,VALUE(SUBSTITUTE(SUBSTITUTE($S48,"$",""),",","")),_xlpm.base,_xlpm.rate*(_xlpm.coverage/1000),_xlpm.fee,_xlfn.XLOOKUP("Mutual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8" s="80">
        <f>AP48</f>
        <v/>
      </c>
      <c r="BA48" s="80">
        <f>IFERROR(IF(AND(AP48&gt;0,AP48&lt;VALUE(SUBSTITUTE(SUBSTITUTE($T48,"$",""),",",""))),VALUE(SUBSTITUTE(SUBSTITUTE($T48,"$",""),",",""))-AP48,""),"")</f>
        <v/>
      </c>
      <c r="BB48" s="80">
        <f>AL48</f>
        <v/>
      </c>
      <c r="BC48" s="80">
        <f>IFERROR(IF(AND(AL48&gt;0,AL48&lt;VALUE(SUBSTITUTE(SUBSTITUTE($T48,"$",""),",",""))),VALUE(SUBSTITUTE(SUBSTITUTE($T48,"$",""),",",""))-AL48,""),"")</f>
        <v/>
      </c>
      <c r="BD48">
        <f t="array" ref="BD48">IFERROR(_xlfn.LET(_xlpm.current,VALUE(SUBSTITUTE(SUBSTITUTE($T48,"$",""),",","")),_xlpm.quotes,AF48:AY48,_xlpm.lowest,_xlfn.MINIFS(_xlpm.quotes,_xlpm.quotes,"&lt;"&amp;_xlpm.current,_xlpm.quotes,"&gt;0"),IF(_xlpm.lowest="","",SUBSTITUTE(INDEX($AF$1:$AY$1,1,MATCH(_xlpm.lowest,_xlpm.quotes,0))," Monthly Quote",""))),"")</f>
        <v/>
      </c>
      <c r="BE48" s="80">
        <f t="array" ref="BE48">IFERROR(_xlfn.LET(_xlpm.current,VALUE(SUBSTITUTE(SUBSTITUTE($T48,"$",""),",","")),_xlpm.quotes,AF48:AY48,_xlpm.lowest,_xlfn.MINIFS(_xlpm.quotes,_xlpm.quotes,"&lt;"&amp;_xlpm.current,_xlpm.quotes,"&gt;0"),IF(_xlpm.lowest="","",_xlpm.current-_xlpm.lowest)),"")</f>
        <v/>
      </c>
    </row>
    <row r="49">
      <c r="A49" s="67" t="inlineStr">
        <is>
          <t>Rubie Gladys</t>
        </is>
      </c>
      <c r="B49" s="67" t="inlineStr">
        <is>
          <t>Lamprecht</t>
        </is>
      </c>
      <c r="C49" s="68" t="n">
        <v>9068285733</v>
      </c>
      <c r="D49" s="68" t="n">
        <v>84</v>
      </c>
      <c r="E49" s="69" t="n">
        <v>15213</v>
      </c>
      <c r="F49" s="67" t="inlineStr">
        <is>
          <t>Female</t>
        </is>
      </c>
      <c r="G49" s="67" t="inlineStr">
        <is>
          <t>W8007 S Us Highway 2/141, Unit 211 Iron Mountain MI 49801</t>
        </is>
      </c>
      <c r="H49" s="67" t="inlineStr">
        <is>
          <t>MI</t>
        </is>
      </c>
      <c r="I49" s="68" t="n">
        <v>5</v>
      </c>
      <c r="J49" s="68" t="n">
        <v>174</v>
      </c>
      <c r="K49" s="67" t="inlineStr">
        <is>
          <t>No</t>
        </is>
      </c>
      <c r="L49" s="67" t="n"/>
      <c r="M49" s="67" t="inlineStr">
        <is>
          <t>Cremation</t>
        </is>
      </c>
      <c r="N49" s="67" t="inlineStr">
        <is>
          <t>Louis Lamprecht</t>
        </is>
      </c>
      <c r="O49" s="67" t="inlineStr">
        <is>
          <t>Son</t>
        </is>
      </c>
      <c r="P49" s="67" t="n"/>
      <c r="Q49" s="67" t="n"/>
      <c r="R49" s="67" t="inlineStr">
        <is>
          <t>CICA</t>
        </is>
      </c>
      <c r="S49" s="70" t="n">
        <v>1500</v>
      </c>
      <c r="T49" s="68" t="n">
        <v>47.29</v>
      </c>
      <c r="U49" s="69" t="n">
        <v>45994</v>
      </c>
      <c r="V49" s="69" t="n">
        <v>45994</v>
      </c>
      <c r="W49" s="68" t="n">
        <v>370423891</v>
      </c>
      <c r="X49" s="67" t="inlineStr">
        <is>
          <t>N/A</t>
        </is>
      </c>
      <c r="Y49" s="67" t="inlineStr">
        <is>
          <t>UPPER PENNISULA STATE BANK</t>
        </is>
      </c>
      <c r="Z49" s="68" t="n">
        <v>91101138</v>
      </c>
      <c r="AA49" s="68" t="n">
        <v>51115110</v>
      </c>
      <c r="AB49" s="67" t="inlineStr">
        <is>
          <t>N/A</t>
        </is>
      </c>
      <c r="AC49" s="67" t="inlineStr">
        <is>
          <t>N/A</t>
        </is>
      </c>
      <c r="AD49" s="67" t="inlineStr">
        <is>
          <t>N/A</t>
        </is>
      </c>
      <c r="AE49" s="68" t="n">
        <v>84</v>
      </c>
      <c r="AF49" s="80">
        <f t="array" ref="AF49">IFERROR(_xlfn.LET(_xlpm.rate,INDEX(aflac!$B$2:$E$37,MATCH($AE49,aflac!$A$2:$A$37,0),IF(LOWER(TRIM($F49))="male",IF(LOWER(TRIM($K49))="yes",2,1),IF(LOWER(TRIM($K49))="yes",4,3))),_xlpm.coverage,VALUE(SUBSTITUTE(SUBSTITUTE($S49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49" s="80">
        <f t="array" ref="AG49">IFERROR(_xlfn.LET(_xlpm.rate,INDEX('aflac-modified'!$B$2:$C$32,MATCH($AE49,'aflac-modified'!$A$2:$A$32,0),IF(LOWER(TRIM($F49))="male",1,2)),_xlpm.coverage,VALUE(SUBSTITUTE(SUBSTITUTE($S49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49" s="80">
        <f t="array" ref="AH49">IFERROR(_xlfn.LET(_xlpm.rate,INDEX(SBLI!$B$2:$E$37,MATCH($AE49,SBLI!$A$2:$A$37,0),IF(LOWER(TRIM($F49))="male",IF(LOWER(TRIM($K49))="yes",2,1),IF(LOWER(TRIM($K49))="yes",4,3))),_xlpm.coverage,VALUE(SUBSTITUTE(SUBSTITUTE($S49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49" s="80">
        <f t="array" ref="AI49">IFERROR(_xlfn.LET(_xlpm.rate,INDEX('SBLI-Modified'!$B$2:$E$27,MATCH($AE49,'SBLI-Modified'!$A$2:$A$27,0),IF(LOWER(TRIM($F49))="male",IF(LOWER(TRIM($K49))="yes",2,1),IF(LOWER(TRIM($K49))="yes",4,3))),_xlpm.coverage,VALUE(SUBSTITUTE(SUBSTITUTE($S49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49" s="80">
        <f t="array" ref="AJ49">IFERROR(_xlfn.LET(_xlpm.rate,INDEX(CICA!$B$2:$C$42,MATCH($AE49,CICA!$A$2:$A$42,0),IF(LOWER(TRIM($F49))="male",1,2)),_xlpm.coverage,VALUE(SUBSTITUTE(SUBSTITUTE($S49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49" s="80">
        <f t="array" ref="AK49">IFERROR(_xlfn.LET(_xlpm.rate,INDEX('CICA-GI'!$B$2:$C$47,MATCH($AE49,'CICA-GI'!$A$2:$A$47,0),IF(LOWER(TRIM($F49))="male",1,2)),_xlpm.coverage,VALUE(SUBSTITUTE(SUBSTITUTE($S49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49" s="80">
        <f t="array" ref="AL49">IFERROR(_xlfn.LET(_xlpm.rate,INDEX(gtl!$B$2:$C$52,MATCH($AE49,gtl!$A$2:$A$52,0),IF(LOWER(TRIM($F49))="male",1,2)),_xlpm.coverage,VALUE(SUBSTITUTE(SUBSTITUTE($S49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49" s="80">
        <f t="array" ref="AM49">IFERROR(_xlfn.LET(_xlpm.rate,INDEX(TransAmerica!$B$2:$E$69,MATCH($AE49,TransAmerica!$A$2:$A$69,0),IF(LOWER(TRIM($F49))="male",IF(LOWER(TRIM($K49))="yes",2,1),IF(LOWER(TRIM($K49))="yes",4,3))),_xlpm.coverage,VALUE(SUBSTITUTE(SUBSTITUTE($S49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49" s="80">
        <f t="array" ref="AN49">IFERROR(_xlfn.LET(_xlpm.rate,INDEX('TransAmerica Graded'!$B$2:$E$64,MATCH($AE49,'TransAmerica Graded'!$A$2:$A$64,0),IF(LOWER(TRIM($F49))="male",IF(LOWER(TRIM($K49))="yes",2,1),IF(LOWER(TRIM($K49))="yes",4,3))),_xlpm.coverage,VALUE(SUBSTITUTE(SUBSTITUTE($S49,"$",""),",","")),_xlpm.base,_xlpm.rate*(_xlpm.coverage/1000),_xlpm.fee,_xlfn.XLOOKUP("TransAmerica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49" s="80">
        <f t="array" ref="AO49">IFERROR(_xlfn.LET(_xlpm.rate,INDEX(Corebridge!$B$2:$C$32,MATCH($AE49,Corebridge!$A$2:$A$32,0),IF(LOWER(TRIM($F49))="male",1,2)),_xlpm.coverage,VALUE(SUBSTITUTE(SUBSTITUTE($S49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49" s="80">
        <f t="array" ref="AP49">IFERROR(_xlfn.LET(_xlpm.rate,INDEX(amam!$B$2:$E$37,MATCH($AE49,amam!$A$2:$A$37,0),IF(LOWER(TRIM($F49))="male",IF(LOWER(TRIM($K49))="yes",2,1),IF(LOWER(TRIM($K49))="yes",4,3))),_xlpm.coverage,VALUE(SUBSTITUTE(SUBSTITUTE($S49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49" s="80">
        <f t="array" ref="AQ49">IFERROR(_xlfn.LET(_xlpm.rate,INDEX('amam-graded'!$B$2:$E$37,MATCH($AE49,'amam-graded'!$A$2:$A$37,0),IF(LOWER(TRIM($F49))="male",IF(LOWER(TRIM($K49))="yes",2,1),IF(LOWER(TRIM($K49))="yes",4,3))),_xlpm.coverage,VALUE(SUBSTITUTE(SUBSTITUTE($S49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49" s="80">
        <f t="array" ref="AR49">IFERROR(_xlfn.LET(_xlpm.rate,INDEX('amam-return-or-premium'!$B$2:$E$37,MATCH($AE49,'amam-return-or-premium'!$A$2:$A$37,0),IF(LOWER(TRIM($F49))="male",IF(LOWER(TRIM($K49))="yes",2,1),IF(LOWER(TRIM($K49))="yes",4,3))),_xlpm.coverage,VALUE(SUBSTITUTE(SUBSTITUTE($S49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49" s="80">
        <f t="array" ref="AS49">IFERROR(_xlfn.LET(_xlpm.rate,INDEX(AHL!$B$2:$E$37,MATCH($AE49,AHL!$A$2:$A$37,0),IF(LOWER(TRIM($F49))="male",IF(LOWER(TRIM($K49))="yes",2,1),IF(LOWER(TRIM($K49))="yes",4,3))),_xlpm.coverage,VALUE(SUBSTITUTE(SUBSTITUTE($S49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49" s="80">
        <f t="array" ref="AT49">IFERROR(_xlfn.LET(_xlpm.rate,INDEX('AHL-Graded'!$B$2:$E$32,MATCH($AE49,'AHL-Graded'!$A$2:$A$32,0),IF(LOWER(TRIM($F49))="male",IF(LOWER(TRIM($K49))="yes",2,1),IF(LOWER(TRIM($K49))="yes",4,3))),_xlpm.coverage,VALUE(SUBSTITUTE(SUBSTITUTE($S49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49" s="80">
        <f t="array" ref="AU49">IFERROR(_xlfn.LET(_xlpm.rate,INDEX('Royal Neighbors'!$B$2:$E$37,MATCH($AE49,'Royal Neighbors'!$A$2:$A$37,0),IF(LOWER(TRIM($F49))="male",IF(LOWER(TRIM($K49))="yes",2,1),IF(LOWER(TRIM($K49))="yes",4,3))),_xlpm.coverage,VALUE(SUBSTITUTE(SUBSTITUTE($S49,"$",""),",","")),_xlpm.base,_xlpm.rate*(_xlpm.coverage/1000),_xlpm.fee,_xlfn.XLOOKUP("Royal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49" s="80">
        <f t="array" ref="AV49">IFERROR(_xlfn.LET(_xlpm.rate,INDEX('Royal Neighbors-Graded'!$B$2:$E$37,MATCH($AE49,'Royal Neighbors-Graded'!$A$2:$A$37,0),IF(LOWER(TRIM($F49))="male",IF(LOWER(TRIM($K49))="yes",2,1),IF(LOWER(TRIM($K49))="yes",4,3))),_xlpm.coverage,VALUE(SUBSTITUTE(SUBSTITUTE($S49,"$",""),",","")),_xlpm.base,_xlpm.rate*(_xlpm.coverage/1000),_xlpm.fee,_xlfn.XLOOKUP("Royal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49" s="80">
        <f t="array" ref="AW49">IFERROR(_xlfn.LET(_xlpm.rate,INDEX('Gerber-GI'!$B$2:$C$32,MATCH($AE49,'Gerber-GI'!$A$2:$A$32,0),IF(LOWER(TRIM($F49))="male",1,2)),_xlpm.coverage,VALUE(SUBSTITUTE(SUBSTITUTE($S49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49" s="80">
        <f t="array" ref="AX49">IFERROR(_xlfn.LET(_xlpm.rate,INDEX('Mutual of Omaha'!$B$2:$E$42,MATCH($AE49,'Mutual of Omaha'!$A$2:$A$42,0),IF(LOWER(TRIM($F49))="male",IF(LOWER(TRIM($K49))="yes",2,1),IF(LOWER(TRIM($K49))="yes",4,3))),_xlpm.coverage,VALUE(SUBSTITUTE(SUBSTITUTE($S49,"$",""),",","")),_xlpm.base,_xlpm.rate*(_xlpm.coverage/1000),_xlpm.fee,_xlfn.XLOOKUP("Mutal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49" s="80">
        <f t="array" ref="AY49">IFERROR(_xlfn.LET(_xlpm.rate,INDEX('Mutual of Omaha-Graded'!$B$2:$E$37,MATCH($AE49,'Mutual of Omaha-Graded'!$A$2:$A$37,0),IF(LOWER(TRIM($F49))="male",IF(LOWER(TRIM($K49))="yes",2,1),IF(LOWER(TRIM($K49))="yes",4,3))),_xlpm.coverage,VALUE(SUBSTITUTE(SUBSTITUTE($S49,"$",""),",","")),_xlpm.base,_xlpm.rate*(_xlpm.coverage/1000),_xlpm.fee,_xlfn.XLOOKUP("Mutual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49" s="80">
        <f>AP49</f>
        <v/>
      </c>
      <c r="BA49" s="80">
        <f>IFERROR(IF(AND(AP49&gt;0,AP49&lt;VALUE(SUBSTITUTE(SUBSTITUTE($T49,"$",""),",",""))),VALUE(SUBSTITUTE(SUBSTITUTE($T49,"$",""),",",""))-AP49,""),"")</f>
        <v/>
      </c>
      <c r="BB49" s="80">
        <f>AL49</f>
        <v/>
      </c>
      <c r="BC49" s="80">
        <f>IFERROR(IF(AND(AL49&gt;0,AL49&lt;VALUE(SUBSTITUTE(SUBSTITUTE($T49,"$",""),",",""))),VALUE(SUBSTITUTE(SUBSTITUTE($T49,"$",""),",",""))-AL49,""),"")</f>
        <v/>
      </c>
      <c r="BD49">
        <f t="array" ref="BD49">IFERROR(_xlfn.LET(_xlpm.current,VALUE(SUBSTITUTE(SUBSTITUTE($T49,"$",""),",","")),_xlpm.quotes,AF49:AY49,_xlpm.lowest,_xlfn.MINIFS(_xlpm.quotes,_xlpm.quotes,"&lt;"&amp;_xlpm.current,_xlpm.quotes,"&gt;0"),IF(_xlpm.lowest="","",SUBSTITUTE(INDEX($AF$1:$AY$1,1,MATCH(_xlpm.lowest,_xlpm.quotes,0))," Monthly Quote",""))),"")</f>
        <v/>
      </c>
      <c r="BE49" s="80">
        <f t="array" ref="BE49">IFERROR(_xlfn.LET(_xlpm.current,VALUE(SUBSTITUTE(SUBSTITUTE($T49,"$",""),",","")),_xlpm.quotes,AF49:AY49,_xlpm.lowest,_xlfn.MINIFS(_xlpm.quotes,_xlpm.quotes,"&lt;"&amp;_xlpm.current,_xlpm.quotes,"&gt;0"),IF(_xlpm.lowest="","",_xlpm.current-_xlpm.lowest)),"")</f>
        <v/>
      </c>
    </row>
    <row r="50">
      <c r="A50" s="67" t="inlineStr">
        <is>
          <t>Hettie L</t>
        </is>
      </c>
      <c r="B50" s="67" t="inlineStr">
        <is>
          <t>Barnes</t>
        </is>
      </c>
      <c r="C50" s="68" t="n">
        <v>4789737151</v>
      </c>
      <c r="D50" s="68" t="n">
        <v>83</v>
      </c>
      <c r="E50" s="69" t="n">
        <v>15590</v>
      </c>
      <c r="F50" s="67" t="inlineStr">
        <is>
          <t>Female</t>
        </is>
      </c>
      <c r="G50" s="67" t="inlineStr">
        <is>
          <t>3964 Jeffersonville Rd , Macon, , Georgia, 31217</t>
        </is>
      </c>
      <c r="H50" s="67" t="inlineStr">
        <is>
          <t>GA</t>
        </is>
      </c>
      <c r="I50" s="68" t="n">
        <v>5.3</v>
      </c>
      <c r="J50" s="68" t="n">
        <v>125</v>
      </c>
      <c r="K50" s="67" t="inlineStr">
        <is>
          <t>No</t>
        </is>
      </c>
      <c r="L50" s="67" t="n"/>
      <c r="M50" s="67" t="inlineStr">
        <is>
          <t>Burial</t>
        </is>
      </c>
      <c r="N50" s="67" t="inlineStr">
        <is>
          <t>Rhonda Vaughn</t>
        </is>
      </c>
      <c r="O50" s="67" t="inlineStr">
        <is>
          <t>Daughter</t>
        </is>
      </c>
      <c r="P50" s="67" t="n"/>
      <c r="Q50" s="67" t="n"/>
      <c r="R50" s="67" t="inlineStr">
        <is>
          <t>CICA</t>
        </is>
      </c>
      <c r="S50" s="70" t="n">
        <v>2000</v>
      </c>
      <c r="T50" s="68" t="n">
        <v>59.73</v>
      </c>
      <c r="U50" s="69" t="n">
        <v>45994</v>
      </c>
      <c r="V50" s="69" t="n">
        <v>46025</v>
      </c>
      <c r="W50" s="68" t="n">
        <v>255625517</v>
      </c>
      <c r="X50" s="67" t="inlineStr">
        <is>
          <t>N/A</t>
        </is>
      </c>
      <c r="Y50" s="67" t="inlineStr">
        <is>
          <t>Bank of America</t>
        </is>
      </c>
      <c r="Z50" s="68" t="n">
        <v>61000052</v>
      </c>
      <c r="AA50" s="68" t="n">
        <v>3259535260</v>
      </c>
      <c r="AB50" s="67" t="inlineStr">
        <is>
          <t>HBP Cholesterol</t>
        </is>
      </c>
      <c r="AC50" s="67" t="inlineStr">
        <is>
          <t>HBP Cholesterol</t>
        </is>
      </c>
      <c r="AD50" s="67" t="inlineStr">
        <is>
          <t>Dr. Stephanie Gaddis, Nurse Practitioner</t>
        </is>
      </c>
      <c r="AE50" s="68" t="n">
        <v>83</v>
      </c>
      <c r="AF50" s="80">
        <f t="array" ref="AF50">IFERROR(_xlfn.LET(_xlpm.rate,INDEX(aflac!$B$2:$E$37,MATCH($AE50,aflac!$A$2:$A$37,0),IF(LOWER(TRIM($F50))="male",IF(LOWER(TRIM($K50))="yes",2,1),IF(LOWER(TRIM($K50))="yes",4,3))),_xlpm.coverage,VALUE(SUBSTITUTE(SUBSTITUTE($S50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0" s="80">
        <f t="array" ref="AG50">IFERROR(_xlfn.LET(_xlpm.rate,INDEX('aflac-modified'!$B$2:$C$32,MATCH($AE50,'aflac-modified'!$A$2:$A$32,0),IF(LOWER(TRIM($F50))="male",1,2)),_xlpm.coverage,VALUE(SUBSTITUTE(SUBSTITUTE($S50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0" s="80">
        <f t="array" ref="AH50">IFERROR(_xlfn.LET(_xlpm.rate,INDEX(SBLI!$B$2:$E$37,MATCH($AE50,SBLI!$A$2:$A$37,0),IF(LOWER(TRIM($F50))="male",IF(LOWER(TRIM($K50))="yes",2,1),IF(LOWER(TRIM($K50))="yes",4,3))),_xlpm.coverage,VALUE(SUBSTITUTE(SUBSTITUTE($S50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0" s="80">
        <f t="array" ref="AI50">IFERROR(_xlfn.LET(_xlpm.rate,INDEX('SBLI-Modified'!$B$2:$E$27,MATCH($AE50,'SBLI-Modified'!$A$2:$A$27,0),IF(LOWER(TRIM($F50))="male",IF(LOWER(TRIM($K50))="yes",2,1),IF(LOWER(TRIM($K50))="yes",4,3))),_xlpm.coverage,VALUE(SUBSTITUTE(SUBSTITUTE($S50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0" s="80">
        <f t="array" ref="AJ50">IFERROR(_xlfn.LET(_xlpm.rate,INDEX(CICA!$B$2:$C$42,MATCH($AE50,CICA!$A$2:$A$42,0),IF(LOWER(TRIM($F50))="male",1,2)),_xlpm.coverage,VALUE(SUBSTITUTE(SUBSTITUTE($S50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0" s="80">
        <f t="array" ref="AK50">IFERROR(_xlfn.LET(_xlpm.rate,INDEX('CICA-GI'!$B$2:$C$47,MATCH($AE50,'CICA-GI'!$A$2:$A$47,0),IF(LOWER(TRIM($F50))="male",1,2)),_xlpm.coverage,VALUE(SUBSTITUTE(SUBSTITUTE($S50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0" s="80">
        <f t="array" ref="AL50">IFERROR(_xlfn.LET(_xlpm.rate,INDEX(gtl!$B$2:$C$52,MATCH($AE50,gtl!$A$2:$A$52,0),IF(LOWER(TRIM($F50))="male",1,2)),_xlpm.coverage,VALUE(SUBSTITUTE(SUBSTITUTE($S50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0" s="80">
        <f t="array" ref="AM50">IFERROR(_xlfn.LET(_xlpm.rate,INDEX(TransAmerica!$B$2:$E$69,MATCH($AE50,TransAmerica!$A$2:$A$69,0),IF(LOWER(TRIM($F50))="male",IF(LOWER(TRIM($K50))="yes",2,1),IF(LOWER(TRIM($K50))="yes",4,3))),_xlpm.coverage,VALUE(SUBSTITUTE(SUBSTITUTE($S50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0" s="80">
        <f t="array" ref="AN50">IFERROR(_xlfn.LET(_xlpm.rate,INDEX('TransAmerica Graded'!$B$2:$E$64,MATCH($AE50,'TransAmerica Graded'!$A$2:$A$64,0),IF(LOWER(TRIM($F50))="male",IF(LOWER(TRIM($K50))="yes",2,1),IF(LOWER(TRIM($K50))="yes",4,3))),_xlpm.coverage,VALUE(SUBSTITUTE(SUBSTITUTE($S50,"$",""),",","")),_xlpm.base,_xlpm.rate*(_xlpm.coverage/1000),_xlpm.fee,_xlfn.XLOOKUP("TransAmerica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0" s="80">
        <f t="array" ref="AO50">IFERROR(_xlfn.LET(_xlpm.rate,INDEX(Corebridge!$B$2:$C$32,MATCH($AE50,Corebridge!$A$2:$A$32,0),IF(LOWER(TRIM($F50))="male",1,2)),_xlpm.coverage,VALUE(SUBSTITUTE(SUBSTITUTE($S50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0" s="80">
        <f t="array" ref="AP50">IFERROR(_xlfn.LET(_xlpm.rate,INDEX(amam!$B$2:$E$37,MATCH($AE50,amam!$A$2:$A$37,0),IF(LOWER(TRIM($F50))="male",IF(LOWER(TRIM($K50))="yes",2,1),IF(LOWER(TRIM($K50))="yes",4,3))),_xlpm.coverage,VALUE(SUBSTITUTE(SUBSTITUTE($S50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0" s="80">
        <f t="array" ref="AQ50">IFERROR(_xlfn.LET(_xlpm.rate,INDEX('amam-graded'!$B$2:$E$37,MATCH($AE50,'amam-graded'!$A$2:$A$37,0),IF(LOWER(TRIM($F50))="male",IF(LOWER(TRIM($K50))="yes",2,1),IF(LOWER(TRIM($K50))="yes",4,3))),_xlpm.coverage,VALUE(SUBSTITUTE(SUBSTITUTE($S50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0" s="80">
        <f t="array" ref="AR50">IFERROR(_xlfn.LET(_xlpm.rate,INDEX('amam-return-or-premium'!$B$2:$E$37,MATCH($AE50,'amam-return-or-premium'!$A$2:$A$37,0),IF(LOWER(TRIM($F50))="male",IF(LOWER(TRIM($K50))="yes",2,1),IF(LOWER(TRIM($K50))="yes",4,3))),_xlpm.coverage,VALUE(SUBSTITUTE(SUBSTITUTE($S50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0" s="80">
        <f t="array" ref="AS50">IFERROR(_xlfn.LET(_xlpm.rate,INDEX(AHL!$B$2:$E$37,MATCH($AE50,AHL!$A$2:$A$37,0),IF(LOWER(TRIM($F50))="male",IF(LOWER(TRIM($K50))="yes",2,1),IF(LOWER(TRIM($K50))="yes",4,3))),_xlpm.coverage,VALUE(SUBSTITUTE(SUBSTITUTE($S50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0" s="80">
        <f t="array" ref="AT50">IFERROR(_xlfn.LET(_xlpm.rate,INDEX('AHL-Graded'!$B$2:$E$32,MATCH($AE50,'AHL-Graded'!$A$2:$A$32,0),IF(LOWER(TRIM($F50))="male",IF(LOWER(TRIM($K50))="yes",2,1),IF(LOWER(TRIM($K50))="yes",4,3))),_xlpm.coverage,VALUE(SUBSTITUTE(SUBSTITUTE($S50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0" s="80">
        <f t="array" ref="AU50">IFERROR(_xlfn.LET(_xlpm.rate,INDEX('Royal Neighbors'!$B$2:$E$37,MATCH($AE50,'Royal Neighbors'!$A$2:$A$37,0),IF(LOWER(TRIM($F50))="male",IF(LOWER(TRIM($K50))="yes",2,1),IF(LOWER(TRIM($K50))="yes",4,3))),_xlpm.coverage,VALUE(SUBSTITUTE(SUBSTITUTE($S50,"$",""),",","")),_xlpm.base,_xlpm.rate*(_xlpm.coverage/1000),_xlpm.fee,_xlfn.XLOOKUP("Royal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0" s="80">
        <f t="array" ref="AV50">IFERROR(_xlfn.LET(_xlpm.rate,INDEX('Royal Neighbors-Graded'!$B$2:$E$37,MATCH($AE50,'Royal Neighbors-Graded'!$A$2:$A$37,0),IF(LOWER(TRIM($F50))="male",IF(LOWER(TRIM($K50))="yes",2,1),IF(LOWER(TRIM($K50))="yes",4,3))),_xlpm.coverage,VALUE(SUBSTITUTE(SUBSTITUTE($S50,"$",""),",","")),_xlpm.base,_xlpm.rate*(_xlpm.coverage/1000),_xlpm.fee,_xlfn.XLOOKUP("Royal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0" s="80">
        <f t="array" ref="AW50">IFERROR(_xlfn.LET(_xlpm.rate,INDEX('Gerber-GI'!$B$2:$C$32,MATCH($AE50,'Gerber-GI'!$A$2:$A$32,0),IF(LOWER(TRIM($F50))="male",1,2)),_xlpm.coverage,VALUE(SUBSTITUTE(SUBSTITUTE($S50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0" s="80">
        <f t="array" ref="AX50">IFERROR(_xlfn.LET(_xlpm.rate,INDEX('Mutual of Omaha'!$B$2:$E$42,MATCH($AE50,'Mutual of Omaha'!$A$2:$A$42,0),IF(LOWER(TRIM($F50))="male",IF(LOWER(TRIM($K50))="yes",2,1),IF(LOWER(TRIM($K50))="yes",4,3))),_xlpm.coverage,VALUE(SUBSTITUTE(SUBSTITUTE($S50,"$",""),",","")),_xlpm.base,_xlpm.rate*(_xlpm.coverage/1000),_xlpm.fee,_xlfn.XLOOKUP("Mutal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0" s="80">
        <f t="array" ref="AY50">IFERROR(_xlfn.LET(_xlpm.rate,INDEX('Mutual of Omaha-Graded'!$B$2:$E$37,MATCH($AE50,'Mutual of Omaha-Graded'!$A$2:$A$37,0),IF(LOWER(TRIM($F50))="male",IF(LOWER(TRIM($K50))="yes",2,1),IF(LOWER(TRIM($K50))="yes",4,3))),_xlpm.coverage,VALUE(SUBSTITUTE(SUBSTITUTE($S50,"$",""),",","")),_xlpm.base,_xlpm.rate*(_xlpm.coverage/1000),_xlpm.fee,_xlfn.XLOOKUP("Mutual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0" s="80">
        <f>AP50</f>
        <v/>
      </c>
      <c r="BA50" s="80">
        <f>IFERROR(IF(AND(AP50&gt;0,AP50&lt;VALUE(SUBSTITUTE(SUBSTITUTE($T50,"$",""),",",""))),VALUE(SUBSTITUTE(SUBSTITUTE($T50,"$",""),",",""))-AP50,""),"")</f>
        <v/>
      </c>
      <c r="BB50" s="80">
        <f>AL50</f>
        <v/>
      </c>
      <c r="BC50" s="80">
        <f>IFERROR(IF(AND(AL50&gt;0,AL50&lt;VALUE(SUBSTITUTE(SUBSTITUTE($T50,"$",""),",",""))),VALUE(SUBSTITUTE(SUBSTITUTE($T50,"$",""),",",""))-AL50,""),"")</f>
        <v/>
      </c>
      <c r="BD50">
        <f t="array" ref="BD50">IFERROR(_xlfn.LET(_xlpm.current,VALUE(SUBSTITUTE(SUBSTITUTE($T50,"$",""),",","")),_xlpm.quotes,AF50:AY50,_xlpm.lowest,_xlfn.MINIFS(_xlpm.quotes,_xlpm.quotes,"&lt;"&amp;_xlpm.current,_xlpm.quotes,"&gt;0"),IF(_xlpm.lowest="","",SUBSTITUTE(INDEX($AF$1:$AY$1,1,MATCH(_xlpm.lowest,_xlpm.quotes,0))," Monthly Quote",""))),"")</f>
        <v/>
      </c>
      <c r="BE50" s="80">
        <f t="array" ref="BE50">IFERROR(_xlfn.LET(_xlpm.current,VALUE(SUBSTITUTE(SUBSTITUTE($T50,"$",""),",","")),_xlpm.quotes,AF50:AY50,_xlpm.lowest,_xlfn.MINIFS(_xlpm.quotes,_xlpm.quotes,"&lt;"&amp;_xlpm.current,_xlpm.quotes,"&gt;0"),IF(_xlpm.lowest="","",_xlpm.current-_xlpm.lowest)),"")</f>
        <v/>
      </c>
    </row>
    <row r="51">
      <c r="A51" s="67" t="inlineStr">
        <is>
          <t>Audrey Agatha</t>
        </is>
      </c>
      <c r="B51" s="67" t="inlineStr">
        <is>
          <t>Mitchell</t>
        </is>
      </c>
      <c r="C51" s="68" t="n">
        <v>9543267962</v>
      </c>
      <c r="D51" s="68" t="n">
        <v>73</v>
      </c>
      <c r="E51" s="69" t="n">
        <v>19030</v>
      </c>
      <c r="F51" s="67" t="inlineStr">
        <is>
          <t>Female</t>
        </is>
      </c>
      <c r="G51" s="67" t="inlineStr">
        <is>
          <t>2300 N Sherman Cir #202 Miramar, FL 33025</t>
        </is>
      </c>
      <c r="H51" s="67" t="inlineStr">
        <is>
          <t>Jamaica</t>
        </is>
      </c>
      <c r="I51" s="67" t="inlineStr">
        <is>
          <t>5'10</t>
        </is>
      </c>
      <c r="J51" s="67" t="inlineStr">
        <is>
          <t>190lbs</t>
        </is>
      </c>
      <c r="K51" s="67" t="inlineStr">
        <is>
          <t>No</t>
        </is>
      </c>
      <c r="L51" s="67" t="inlineStr">
        <is>
          <t>Nil</t>
        </is>
      </c>
      <c r="M51" s="67" t="inlineStr">
        <is>
          <t>Leave money</t>
        </is>
      </c>
      <c r="N51" s="67" t="inlineStr">
        <is>
          <t>Nicole James</t>
        </is>
      </c>
      <c r="O51" s="67" t="inlineStr">
        <is>
          <t>Daughter</t>
        </is>
      </c>
      <c r="P51" s="67" t="inlineStr">
        <is>
          <t>Raymond Chisholn</t>
        </is>
      </c>
      <c r="Q51" s="67" t="inlineStr">
        <is>
          <t>Son</t>
        </is>
      </c>
      <c r="R51" s="67" t="inlineStr">
        <is>
          <t>American Amicable</t>
        </is>
      </c>
      <c r="S51" s="70" t="n">
        <v>5000</v>
      </c>
      <c r="T51" s="74" t="n">
        <v>34.76</v>
      </c>
      <c r="U51" s="69" t="n">
        <v>45994</v>
      </c>
      <c r="V51" s="69" t="n">
        <v>46024</v>
      </c>
      <c r="W51" s="68" t="n">
        <v>72768588</v>
      </c>
      <c r="X51" s="67" t="inlineStr">
        <is>
          <t>Nil</t>
        </is>
      </c>
      <c r="Y51" s="67" t="inlineStr">
        <is>
          <t>Chase Bank</t>
        </is>
      </c>
      <c r="Z51" s="68" t="n">
        <v>267084131</v>
      </c>
      <c r="AA51" s="68" t="n">
        <v>4892948832</v>
      </c>
      <c r="AB51" s="67" t="inlineStr">
        <is>
          <t>No major health conditions</t>
        </is>
      </c>
      <c r="AC51" s="67" t="inlineStr">
        <is>
          <t>1 pill for blood pressure</t>
        </is>
      </c>
      <c r="AD51" s="67" t="inlineStr">
        <is>
          <t>Nil</t>
        </is>
      </c>
      <c r="AE51" s="68" t="n">
        <v>74</v>
      </c>
      <c r="AF51" s="80">
        <f t="array" ref="AF51">IFERROR(_xlfn.LET(_xlpm.rate,INDEX(aflac!$B$2:$E$37,MATCH($AE51,aflac!$A$2:$A$37,0),IF(LOWER(TRIM($F51))="male",IF(LOWER(TRIM($K51))="yes",2,1),IF(LOWER(TRIM($K51))="yes",4,3))),_xlpm.coverage,VALUE(SUBSTITUTE(SUBSTITUTE($S51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1" s="80">
        <f t="array" ref="AG51">IFERROR(_xlfn.LET(_xlpm.rate,INDEX('aflac-modified'!$B$2:$C$32,MATCH($AE51,'aflac-modified'!$A$2:$A$32,0),IF(LOWER(TRIM($F51))="male",1,2)),_xlpm.coverage,VALUE(SUBSTITUTE(SUBSTITUTE($S51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1" s="80">
        <f t="array" ref="AH51">IFERROR(_xlfn.LET(_xlpm.rate,INDEX(SBLI!$B$2:$E$37,MATCH($AE51,SBLI!$A$2:$A$37,0),IF(LOWER(TRIM($F51))="male",IF(LOWER(TRIM($K51))="yes",2,1),IF(LOWER(TRIM($K51))="yes",4,3))),_xlpm.coverage,VALUE(SUBSTITUTE(SUBSTITUTE($S51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1" s="80">
        <f t="array" ref="AI51">IFERROR(_xlfn.LET(_xlpm.rate,INDEX('SBLI-Modified'!$B$2:$E$27,MATCH($AE51,'SBLI-Modified'!$A$2:$A$27,0),IF(LOWER(TRIM($F51))="male",IF(LOWER(TRIM($K51))="yes",2,1),IF(LOWER(TRIM($K51))="yes",4,3))),_xlpm.coverage,VALUE(SUBSTITUTE(SUBSTITUTE($S51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1" s="80">
        <f t="array" ref="AJ51">IFERROR(_xlfn.LET(_xlpm.rate,INDEX(CICA!$B$2:$C$42,MATCH($AE51,CICA!$A$2:$A$42,0),IF(LOWER(TRIM($F51))="male",1,2)),_xlpm.coverage,VALUE(SUBSTITUTE(SUBSTITUTE($S51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1" s="80">
        <f t="array" ref="AK51">IFERROR(_xlfn.LET(_xlpm.rate,INDEX('CICA-GI'!$B$2:$C$47,MATCH($AE51,'CICA-GI'!$A$2:$A$47,0),IF(LOWER(TRIM($F51))="male",1,2)),_xlpm.coverage,VALUE(SUBSTITUTE(SUBSTITUTE($S51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1" s="80">
        <f t="array" ref="AL51">IFERROR(_xlfn.LET(_xlpm.rate,INDEX(gtl!$B$2:$C$52,MATCH($AE51,gtl!$A$2:$A$52,0),IF(LOWER(TRIM($F51))="male",1,2)),_xlpm.coverage,VALUE(SUBSTITUTE(SUBSTITUTE($S51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1" s="80">
        <f t="array" ref="AM51">IFERROR(_xlfn.LET(_xlpm.rate,INDEX(TransAmerica!$B$2:$E$69,MATCH($AE51,TransAmerica!$A$2:$A$69,0),IF(LOWER(TRIM($F51))="male",IF(LOWER(TRIM($K51))="yes",2,1),IF(LOWER(TRIM($K51))="yes",4,3))),_xlpm.coverage,VALUE(SUBSTITUTE(SUBSTITUTE($S51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1" s="80">
        <f t="array" ref="AN51">IFERROR(_xlfn.LET(_xlpm.rate,INDEX('TransAmerica Graded'!$B$2:$E$64,MATCH($AE51,'TransAmerica Graded'!$A$2:$A$64,0),IF(LOWER(TRIM($F51))="male",IF(LOWER(TRIM($K51))="yes",2,1),IF(LOWER(TRIM($K51))="yes",4,3))),_xlpm.coverage,VALUE(SUBSTITUTE(SUBSTITUTE($S51,"$",""),",","")),_xlpm.base,_xlpm.rate*(_xlpm.coverage/1000),_xlpm.fee,_xlfn.XLOOKUP("TransAmerica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1" s="80">
        <f t="array" ref="AO51">IFERROR(_xlfn.LET(_xlpm.rate,INDEX(Corebridge!$B$2:$C$32,MATCH($AE51,Corebridge!$A$2:$A$32,0),IF(LOWER(TRIM($F51))="male",1,2)),_xlpm.coverage,VALUE(SUBSTITUTE(SUBSTITUTE($S51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1" s="80">
        <f t="array" ref="AP51">IFERROR(_xlfn.LET(_xlpm.rate,INDEX(amam!$B$2:$E$37,MATCH($AE51,amam!$A$2:$A$37,0),IF(LOWER(TRIM($F51))="male",IF(LOWER(TRIM($K51))="yes",2,1),IF(LOWER(TRIM($K51))="yes",4,3))),_xlpm.coverage,VALUE(SUBSTITUTE(SUBSTITUTE($S51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1" s="80">
        <f t="array" ref="AQ51">IFERROR(_xlfn.LET(_xlpm.rate,INDEX('amam-graded'!$B$2:$E$37,MATCH($AE51,'amam-graded'!$A$2:$A$37,0),IF(LOWER(TRIM($F51))="male",IF(LOWER(TRIM($K51))="yes",2,1),IF(LOWER(TRIM($K51))="yes",4,3))),_xlpm.coverage,VALUE(SUBSTITUTE(SUBSTITUTE($S51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1" s="80">
        <f t="array" ref="AR51">IFERROR(_xlfn.LET(_xlpm.rate,INDEX('amam-return-or-premium'!$B$2:$E$37,MATCH($AE51,'amam-return-or-premium'!$A$2:$A$37,0),IF(LOWER(TRIM($F51))="male",IF(LOWER(TRIM($K51))="yes",2,1),IF(LOWER(TRIM($K51))="yes",4,3))),_xlpm.coverage,VALUE(SUBSTITUTE(SUBSTITUTE($S51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1" s="80">
        <f t="array" ref="AS51">IFERROR(_xlfn.LET(_xlpm.rate,INDEX(AHL!$B$2:$E$37,MATCH($AE51,AHL!$A$2:$A$37,0),IF(LOWER(TRIM($F51))="male",IF(LOWER(TRIM($K51))="yes",2,1),IF(LOWER(TRIM($K51))="yes",4,3))),_xlpm.coverage,VALUE(SUBSTITUTE(SUBSTITUTE($S51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1" s="80">
        <f t="array" ref="AT51">IFERROR(_xlfn.LET(_xlpm.rate,INDEX('AHL-Graded'!$B$2:$E$32,MATCH($AE51,'AHL-Graded'!$A$2:$A$32,0),IF(LOWER(TRIM($F51))="male",IF(LOWER(TRIM($K51))="yes",2,1),IF(LOWER(TRIM($K51))="yes",4,3))),_xlpm.coverage,VALUE(SUBSTITUTE(SUBSTITUTE($S51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1" s="80">
        <f t="array" ref="AU51">IFERROR(_xlfn.LET(_xlpm.rate,INDEX('Royal Neighbors'!$B$2:$E$37,MATCH($AE51,'Royal Neighbors'!$A$2:$A$37,0),IF(LOWER(TRIM($F51))="male",IF(LOWER(TRIM($K51))="yes",2,1),IF(LOWER(TRIM($K51))="yes",4,3))),_xlpm.coverage,VALUE(SUBSTITUTE(SUBSTITUTE($S51,"$",""),",","")),_xlpm.base,_xlpm.rate*(_xlpm.coverage/1000),_xlpm.fee,_xlfn.XLOOKUP("Royal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1" s="80">
        <f t="array" ref="AV51">IFERROR(_xlfn.LET(_xlpm.rate,INDEX('Royal Neighbors-Graded'!$B$2:$E$37,MATCH($AE51,'Royal Neighbors-Graded'!$A$2:$A$37,0),IF(LOWER(TRIM($F51))="male",IF(LOWER(TRIM($K51))="yes",2,1),IF(LOWER(TRIM($K51))="yes",4,3))),_xlpm.coverage,VALUE(SUBSTITUTE(SUBSTITUTE($S51,"$",""),",","")),_xlpm.base,_xlpm.rate*(_xlpm.coverage/1000),_xlpm.fee,_xlfn.XLOOKUP("Royal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1" s="80">
        <f t="array" ref="AW51">IFERROR(_xlfn.LET(_xlpm.rate,INDEX('Gerber-GI'!$B$2:$C$32,MATCH($AE51,'Gerber-GI'!$A$2:$A$32,0),IF(LOWER(TRIM($F51))="male",1,2)),_xlpm.coverage,VALUE(SUBSTITUTE(SUBSTITUTE($S51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1" s="80">
        <f t="array" ref="AX51">IFERROR(_xlfn.LET(_xlpm.rate,INDEX('Mutual of Omaha'!$B$2:$E$42,MATCH($AE51,'Mutual of Omaha'!$A$2:$A$42,0),IF(LOWER(TRIM($F51))="male",IF(LOWER(TRIM($K51))="yes",2,1),IF(LOWER(TRIM($K51))="yes",4,3))),_xlpm.coverage,VALUE(SUBSTITUTE(SUBSTITUTE($S51,"$",""),",","")),_xlpm.base,_xlpm.rate*(_xlpm.coverage/1000),_xlpm.fee,_xlfn.XLOOKUP("Mutal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1" s="80">
        <f t="array" ref="AY51">IFERROR(_xlfn.LET(_xlpm.rate,INDEX('Mutual of Omaha-Graded'!$B$2:$E$37,MATCH($AE51,'Mutual of Omaha-Graded'!$A$2:$A$37,0),IF(LOWER(TRIM($F51))="male",IF(LOWER(TRIM($K51))="yes",2,1),IF(LOWER(TRIM($K51))="yes",4,3))),_xlpm.coverage,VALUE(SUBSTITUTE(SUBSTITUTE($S51,"$",""),",","")),_xlpm.base,_xlpm.rate*(_xlpm.coverage/1000),_xlpm.fee,_xlfn.XLOOKUP("Mutual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1" s="80">
        <f>AP51</f>
        <v/>
      </c>
      <c r="BA51" s="80">
        <f>IFERROR(IF(AND(AP51&gt;0,AP51&lt;VALUE(SUBSTITUTE(SUBSTITUTE($T51,"$",""),",",""))),VALUE(SUBSTITUTE(SUBSTITUTE($T51,"$",""),",",""))-AP51,""),"")</f>
        <v/>
      </c>
      <c r="BB51" s="80">
        <f>AL51</f>
        <v/>
      </c>
      <c r="BC51" s="80">
        <f>IFERROR(IF(AND(AL51&gt;0,AL51&lt;VALUE(SUBSTITUTE(SUBSTITUTE($T51,"$",""),",",""))),VALUE(SUBSTITUTE(SUBSTITUTE($T51,"$",""),",",""))-AL51,""),"")</f>
        <v/>
      </c>
      <c r="BD51">
        <f t="array" ref="BD51">IFERROR(_xlfn.LET(_xlpm.current,VALUE(SUBSTITUTE(SUBSTITUTE($T51,"$",""),",","")),_xlpm.quotes,AF51:AY51,_xlpm.lowest,_xlfn.MINIFS(_xlpm.quotes,_xlpm.quotes,"&lt;"&amp;_xlpm.current,_xlpm.quotes,"&gt;0"),IF(_xlpm.lowest="","",SUBSTITUTE(INDEX($AF$1:$AY$1,1,MATCH(_xlpm.lowest,_xlpm.quotes,0))," Monthly Quote",""))),"")</f>
        <v/>
      </c>
      <c r="BE51" s="80">
        <f t="array" ref="BE51">IFERROR(_xlfn.LET(_xlpm.current,VALUE(SUBSTITUTE(SUBSTITUTE($T51,"$",""),",","")),_xlpm.quotes,AF51:AY51,_xlpm.lowest,_xlfn.MINIFS(_xlpm.quotes,_xlpm.quotes,"&lt;"&amp;_xlpm.current,_xlpm.quotes,"&gt;0"),IF(_xlpm.lowest="","",_xlpm.current-_xlpm.lowest)),"")</f>
        <v/>
      </c>
    </row>
    <row r="52" ht="14.25" customHeight="1">
      <c r="A52" s="63" t="inlineStr">
        <is>
          <t>Scott A</t>
        </is>
      </c>
      <c r="B52" s="63" t="inlineStr">
        <is>
          <t>Baker</t>
        </is>
      </c>
      <c r="C52" s="64" t="n">
        <v>4067947016</v>
      </c>
      <c r="D52" s="64" t="n">
        <v>66</v>
      </c>
      <c r="E52" s="65" t="n">
        <v>21257</v>
      </c>
      <c r="F52" s="63" t="inlineStr">
        <is>
          <t>Male</t>
        </is>
      </c>
      <c r="G52" s="63" t="inlineStr">
        <is>
          <t>640 Cook Ave Billings, MT 59101</t>
        </is>
      </c>
      <c r="H52" s="63" t="inlineStr">
        <is>
          <t>SD</t>
        </is>
      </c>
      <c r="I52" s="64" t="n">
        <v>5.9</v>
      </c>
      <c r="J52" s="64" t="n">
        <v>175</v>
      </c>
      <c r="K52" s="63" t="inlineStr">
        <is>
          <t>yes</t>
        </is>
      </c>
      <c r="L52" s="63" t="n"/>
      <c r="M52" s="63" t="inlineStr">
        <is>
          <t>Cremation</t>
        </is>
      </c>
      <c r="N52" s="63" t="inlineStr">
        <is>
          <t>Adam Baker - 8 10 1991</t>
        </is>
      </c>
      <c r="O52" s="63" t="inlineStr">
        <is>
          <t>SON</t>
        </is>
      </c>
      <c r="P52" s="63" t="inlineStr">
        <is>
          <t>Austin Baker - 3 7 1987</t>
        </is>
      </c>
      <c r="Q52" s="63" t="inlineStr">
        <is>
          <t>SON</t>
        </is>
      </c>
      <c r="R52" s="63" t="inlineStr">
        <is>
          <t>AIG GI</t>
        </is>
      </c>
      <c r="S52" s="66" t="n">
        <v>5000</v>
      </c>
      <c r="T52" s="76" t="n">
        <v>52.47</v>
      </c>
      <c r="U52" s="65" t="n">
        <v>45994</v>
      </c>
      <c r="V52" s="65" t="n">
        <v>45660</v>
      </c>
      <c r="W52" s="64" t="n">
        <v>501841645</v>
      </c>
      <c r="X52" s="63" t="inlineStr">
        <is>
          <t>No</t>
        </is>
      </c>
      <c r="Y52" s="63" t="inlineStr">
        <is>
          <t>First Interstate bank</t>
        </is>
      </c>
      <c r="Z52" s="64" t="n">
        <v>92901683</v>
      </c>
      <c r="AA52" s="78" t="n">
        <v>8000000000000</v>
      </c>
      <c r="AB52" s="63" t="inlineStr">
        <is>
          <t>Heart Attack(2 months ago) Asma , HBP</t>
        </is>
      </c>
      <c r="AC52" s="63" t="inlineStr">
        <is>
          <t>17 Pills</t>
        </is>
      </c>
      <c r="AD52" s="63" t="inlineStr">
        <is>
          <t>Dr. Shae E. Saunders, MD | Billings, MT</t>
        </is>
      </c>
      <c r="AE52" s="64" t="n">
        <v>68</v>
      </c>
      <c r="AF52" s="80">
        <f t="array" ref="AF52">IFERROR(_xlfn.LET(_xlpm.rate,INDEX(aflac!$B$2:$E$37,MATCH($AE52,aflac!$A$2:$A$37,0),IF(LOWER(TRIM($F52))="male",IF(LOWER(TRIM($K52))="yes",2,1),IF(LOWER(TRIM($K52))="yes",4,3))),_xlpm.coverage,VALUE(SUBSTITUTE(SUBSTITUTE($S52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2" s="80">
        <f t="array" ref="AG52">IFERROR(_xlfn.LET(_xlpm.rate,INDEX('aflac-modified'!$B$2:$C$32,MATCH($AE52,'aflac-modified'!$A$2:$A$32,0),IF(LOWER(TRIM($F52))="male",1,2)),_xlpm.coverage,VALUE(SUBSTITUTE(SUBSTITUTE($S52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2" s="80">
        <f t="array" ref="AH52">IFERROR(_xlfn.LET(_xlpm.rate,INDEX(SBLI!$B$2:$E$37,MATCH($AE52,SBLI!$A$2:$A$37,0),IF(LOWER(TRIM($F52))="male",IF(LOWER(TRIM($K52))="yes",2,1),IF(LOWER(TRIM($K52))="yes",4,3))),_xlpm.coverage,VALUE(SUBSTITUTE(SUBSTITUTE($S52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2" s="80">
        <f t="array" ref="AI52">IFERROR(_xlfn.LET(_xlpm.rate,INDEX('SBLI-Modified'!$B$2:$E$27,MATCH($AE52,'SBLI-Modified'!$A$2:$A$27,0),IF(LOWER(TRIM($F52))="male",IF(LOWER(TRIM($K52))="yes",2,1),IF(LOWER(TRIM($K52))="yes",4,3))),_xlpm.coverage,VALUE(SUBSTITUTE(SUBSTITUTE($S52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2" s="80">
        <f t="array" ref="AJ52">IFERROR(_xlfn.LET(_xlpm.rate,INDEX(CICA!$B$2:$C$42,MATCH($AE52,CICA!$A$2:$A$42,0),IF(LOWER(TRIM($F52))="male",1,2)),_xlpm.coverage,VALUE(SUBSTITUTE(SUBSTITUTE($S52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2" s="80">
        <f t="array" ref="AK52">IFERROR(_xlfn.LET(_xlpm.rate,INDEX('CICA-GI'!$B$2:$C$47,MATCH($AE52,'CICA-GI'!$A$2:$A$47,0),IF(LOWER(TRIM($F52))="male",1,2)),_xlpm.coverage,VALUE(SUBSTITUTE(SUBSTITUTE($S52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2" s="80">
        <f t="array" ref="AL52">IFERROR(_xlfn.LET(_xlpm.rate,INDEX(gtl!$B$2:$C$52,MATCH($AE52,gtl!$A$2:$A$52,0),IF(LOWER(TRIM($F52))="male",1,2)),_xlpm.coverage,VALUE(SUBSTITUTE(SUBSTITUTE($S52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2" s="80">
        <f t="array" ref="AM52">IFERROR(_xlfn.LET(_xlpm.rate,INDEX(TransAmerica!$B$2:$E$69,MATCH($AE52,TransAmerica!$A$2:$A$69,0),IF(LOWER(TRIM($F52))="male",IF(LOWER(TRIM($K52))="yes",2,1),IF(LOWER(TRIM($K52))="yes",4,3))),_xlpm.coverage,VALUE(SUBSTITUTE(SUBSTITUTE($S52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2" s="80">
        <f t="array" ref="AN52">IFERROR(_xlfn.LET(_xlpm.rate,INDEX('TransAmerica Graded'!$B$2:$E$64,MATCH($AE52,'TransAmerica Graded'!$A$2:$A$64,0),IF(LOWER(TRIM($F52))="male",IF(LOWER(TRIM($K52))="yes",2,1),IF(LOWER(TRIM($K52))="yes",4,3))),_xlpm.coverage,VALUE(SUBSTITUTE(SUBSTITUTE($S52,"$",""),",","")),_xlpm.base,_xlpm.rate*(_xlpm.coverage/1000),_xlpm.fee,_xlfn.XLOOKUP("TransAmerica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2" s="80">
        <f t="array" ref="AO52">IFERROR(_xlfn.LET(_xlpm.rate,INDEX(Corebridge!$B$2:$C$32,MATCH($AE52,Corebridge!$A$2:$A$32,0),IF(LOWER(TRIM($F52))="male",1,2)),_xlpm.coverage,VALUE(SUBSTITUTE(SUBSTITUTE($S52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2" s="80">
        <f t="array" ref="AP52">IFERROR(_xlfn.LET(_xlpm.rate,INDEX(amam!$B$2:$E$37,MATCH($AE52,amam!$A$2:$A$37,0),IF(LOWER(TRIM($F52))="male",IF(LOWER(TRIM($K52))="yes",2,1),IF(LOWER(TRIM($K52))="yes",4,3))),_xlpm.coverage,VALUE(SUBSTITUTE(SUBSTITUTE($S52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2" s="80">
        <f t="array" ref="AQ52">IFERROR(_xlfn.LET(_xlpm.rate,INDEX('amam-graded'!$B$2:$E$37,MATCH($AE52,'amam-graded'!$A$2:$A$37,0),IF(LOWER(TRIM($F52))="male",IF(LOWER(TRIM($K52))="yes",2,1),IF(LOWER(TRIM($K52))="yes",4,3))),_xlpm.coverage,VALUE(SUBSTITUTE(SUBSTITUTE($S52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2" s="80">
        <f t="array" ref="AR52">IFERROR(_xlfn.LET(_xlpm.rate,INDEX('amam-return-or-premium'!$B$2:$E$37,MATCH($AE52,'amam-return-or-premium'!$A$2:$A$37,0),IF(LOWER(TRIM($F52))="male",IF(LOWER(TRIM($K52))="yes",2,1),IF(LOWER(TRIM($K52))="yes",4,3))),_xlpm.coverage,VALUE(SUBSTITUTE(SUBSTITUTE($S52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2" s="80">
        <f t="array" ref="AS52">IFERROR(_xlfn.LET(_xlpm.rate,INDEX(AHL!$B$2:$E$37,MATCH($AE52,AHL!$A$2:$A$37,0),IF(LOWER(TRIM($F52))="male",IF(LOWER(TRIM($K52))="yes",2,1),IF(LOWER(TRIM($K52))="yes",4,3))),_xlpm.coverage,VALUE(SUBSTITUTE(SUBSTITUTE($S52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2" s="80">
        <f t="array" ref="AT52">IFERROR(_xlfn.LET(_xlpm.rate,INDEX('AHL-Graded'!$B$2:$E$32,MATCH($AE52,'AHL-Graded'!$A$2:$A$32,0),IF(LOWER(TRIM($F52))="male",IF(LOWER(TRIM($K52))="yes",2,1),IF(LOWER(TRIM($K52))="yes",4,3))),_xlpm.coverage,VALUE(SUBSTITUTE(SUBSTITUTE($S52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2" s="80">
        <f t="array" ref="AU52">IFERROR(_xlfn.LET(_xlpm.rate,INDEX('Royal Neighbors'!$B$2:$E$37,MATCH($AE52,'Royal Neighbors'!$A$2:$A$37,0),IF(LOWER(TRIM($F52))="male",IF(LOWER(TRIM($K52))="yes",2,1),IF(LOWER(TRIM($K52))="yes",4,3))),_xlpm.coverage,VALUE(SUBSTITUTE(SUBSTITUTE($S52,"$",""),",","")),_xlpm.base,_xlpm.rate*(_xlpm.coverage/1000),_xlpm.fee,_xlfn.XLOOKUP("Royal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2" s="80">
        <f t="array" ref="AV52">IFERROR(_xlfn.LET(_xlpm.rate,INDEX('Royal Neighbors-Graded'!$B$2:$E$37,MATCH($AE52,'Royal Neighbors-Graded'!$A$2:$A$37,0),IF(LOWER(TRIM($F52))="male",IF(LOWER(TRIM($K52))="yes",2,1),IF(LOWER(TRIM($K52))="yes",4,3))),_xlpm.coverage,VALUE(SUBSTITUTE(SUBSTITUTE($S52,"$",""),",","")),_xlpm.base,_xlpm.rate*(_xlpm.coverage/1000),_xlpm.fee,_xlfn.XLOOKUP("Royal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2" s="80">
        <f t="array" ref="AW52">IFERROR(_xlfn.LET(_xlpm.rate,INDEX('Gerber-GI'!$B$2:$C$32,MATCH($AE52,'Gerber-GI'!$A$2:$A$32,0),IF(LOWER(TRIM($F52))="male",1,2)),_xlpm.coverage,VALUE(SUBSTITUTE(SUBSTITUTE($S52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2" s="80">
        <f t="array" ref="AX52">IFERROR(_xlfn.LET(_xlpm.rate,INDEX('Mutual of Omaha'!$B$2:$E$42,MATCH($AE52,'Mutual of Omaha'!$A$2:$A$42,0),IF(LOWER(TRIM($F52))="male",IF(LOWER(TRIM($K52))="yes",2,1),IF(LOWER(TRIM($K52))="yes",4,3))),_xlpm.coverage,VALUE(SUBSTITUTE(SUBSTITUTE($S52,"$",""),",","")),_xlpm.base,_xlpm.rate*(_xlpm.coverage/1000),_xlpm.fee,_xlfn.XLOOKUP("Mutal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2" s="80">
        <f t="array" ref="AY52">IFERROR(_xlfn.LET(_xlpm.rate,INDEX('Mutual of Omaha-Graded'!$B$2:$E$37,MATCH($AE52,'Mutual of Omaha-Graded'!$A$2:$A$37,0),IF(LOWER(TRIM($F52))="male",IF(LOWER(TRIM($K52))="yes",2,1),IF(LOWER(TRIM($K52))="yes",4,3))),_xlpm.coverage,VALUE(SUBSTITUTE(SUBSTITUTE($S52,"$",""),",","")),_xlpm.base,_xlpm.rate*(_xlpm.coverage/1000),_xlpm.fee,_xlfn.XLOOKUP("Mutual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2" s="80">
        <f>AP52</f>
        <v/>
      </c>
      <c r="BA52" s="80">
        <f>IFERROR(IF(AND(AP52&gt;0,AP52&lt;VALUE(SUBSTITUTE(SUBSTITUTE($T52,"$",""),",",""))),VALUE(SUBSTITUTE(SUBSTITUTE($T52,"$",""),",",""))-AP52,""),"")</f>
        <v/>
      </c>
      <c r="BB52" s="80">
        <f>AL52</f>
        <v/>
      </c>
      <c r="BC52" s="80">
        <f>IFERROR(IF(AND(AL52&gt;0,AL52&lt;VALUE(SUBSTITUTE(SUBSTITUTE($T52,"$",""),",",""))),VALUE(SUBSTITUTE(SUBSTITUTE($T52,"$",""),",",""))-AL52,""),"")</f>
        <v/>
      </c>
      <c r="BD52">
        <f t="array" ref="BD52">IFERROR(_xlfn.LET(_xlpm.current,VALUE(SUBSTITUTE(SUBSTITUTE($T52,"$",""),",","")),_xlpm.quotes,AF52:AY52,_xlpm.lowest,_xlfn.MINIFS(_xlpm.quotes,_xlpm.quotes,"&lt;"&amp;_xlpm.current,_xlpm.quotes,"&gt;0"),IF(_xlpm.lowest="","",SUBSTITUTE(INDEX($AF$1:$AY$1,1,MATCH(_xlpm.lowest,_xlpm.quotes,0))," Monthly Quote",""))),"")</f>
        <v/>
      </c>
      <c r="BE52" s="80">
        <f t="array" ref="BE52">IFERROR(_xlfn.LET(_xlpm.current,VALUE(SUBSTITUTE(SUBSTITUTE($T52,"$",""),",","")),_xlpm.quotes,AF52:AY52,_xlpm.lowest,_xlfn.MINIFS(_xlpm.quotes,_xlpm.quotes,"&lt;"&amp;_xlpm.current,_xlpm.quotes,"&gt;0"),IF(_xlpm.lowest="","",_xlpm.current-_xlpm.lowest)),"")</f>
        <v/>
      </c>
    </row>
    <row r="53">
      <c r="A53" s="63" t="inlineStr">
        <is>
          <t>Patricia F</t>
        </is>
      </c>
      <c r="B53" s="63" t="inlineStr">
        <is>
          <t>Mobley</t>
        </is>
      </c>
      <c r="C53" s="64" t="n">
        <v>8645093043</v>
      </c>
      <c r="D53" s="64" t="n">
        <v>74</v>
      </c>
      <c r="E53" s="65" t="n">
        <v>18703</v>
      </c>
      <c r="F53" s="63" t="inlineStr">
        <is>
          <t>Female</t>
        </is>
      </c>
      <c r="G53" s="63" t="inlineStr">
        <is>
          <t>120 N Boyce St #6d Union SC 29379</t>
        </is>
      </c>
      <c r="H53" s="63" t="inlineStr">
        <is>
          <t>SC</t>
        </is>
      </c>
      <c r="I53" s="64" t="n">
        <v>5.3</v>
      </c>
      <c r="J53" s="64" t="n">
        <v>180</v>
      </c>
      <c r="K53" s="63" t="inlineStr">
        <is>
          <t>No</t>
        </is>
      </c>
      <c r="L53" s="63" t="n"/>
      <c r="M53" s="63" t="inlineStr">
        <is>
          <t>burial</t>
        </is>
      </c>
      <c r="N53" s="63" t="inlineStr">
        <is>
          <t>Julia fields: (32)</t>
        </is>
      </c>
      <c r="O53" s="63" t="inlineStr">
        <is>
          <t>Grand Daughter</t>
        </is>
      </c>
      <c r="P53" s="63" t="n"/>
      <c r="Q53" s="63" t="n"/>
      <c r="R53" s="63" t="inlineStr">
        <is>
          <t>AIG Gi</t>
        </is>
      </c>
      <c r="S53" s="66" t="n">
        <v>10000</v>
      </c>
      <c r="T53" s="77" t="n">
        <v>119.48</v>
      </c>
      <c r="U53" s="65" t="n">
        <v>45994</v>
      </c>
      <c r="V53" s="65" t="n">
        <v>46025</v>
      </c>
      <c r="W53" s="64" t="n">
        <v>251942524</v>
      </c>
      <c r="X53" s="63" t="inlineStr">
        <is>
          <t>no</t>
        </is>
      </c>
      <c r="Y53" s="63" t="inlineStr">
        <is>
          <t>Founders Federal Credit Union</t>
        </is>
      </c>
      <c r="Z53" s="64" t="n">
        <v>253279439</v>
      </c>
      <c r="AA53" s="78" t="n">
        <v>6000000000000</v>
      </c>
      <c r="AB53" s="63" t="inlineStr">
        <is>
          <t>Diabetic Neuropathy (Nerve) 2025-07-29 Pacemaker 2025-07-22 High Blood Pressure (Controlled) 2025-07-29 Seizures (lifetime total of two or more) Gabapentin Diabetic Neuropathy (Nerve) current Ozempic Diabetic Neuropathy (Nerve) current</t>
        </is>
      </c>
      <c r="AC53" s="63" t="inlineStr">
        <is>
          <t>13 pills</t>
        </is>
      </c>
      <c r="AD53" s="63" t="inlineStr">
        <is>
          <t>Dr. Coy Eaton</t>
        </is>
      </c>
      <c r="AE53" s="64" t="n">
        <v>75</v>
      </c>
      <c r="AF53" s="80">
        <f t="array" ref="AF53">IFERROR(_xlfn.LET(_xlpm.rate,INDEX(aflac!$B$2:$E$37,MATCH($AE53,aflac!$A$2:$A$37,0),IF(LOWER(TRIM($F53))="male",IF(LOWER(TRIM($K53))="yes",2,1),IF(LOWER(TRIM($K53))="yes",4,3))),_xlpm.coverage,VALUE(SUBSTITUTE(SUBSTITUTE($S53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3" s="80">
        <f t="array" ref="AG53">IFERROR(_xlfn.LET(_xlpm.rate,INDEX('aflac-modified'!$B$2:$C$32,MATCH($AE53,'aflac-modified'!$A$2:$A$32,0),IF(LOWER(TRIM($F53))="male",1,2)),_xlpm.coverage,VALUE(SUBSTITUTE(SUBSTITUTE($S53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3" s="80">
        <f t="array" ref="AH53">IFERROR(_xlfn.LET(_xlpm.rate,INDEX(SBLI!$B$2:$E$37,MATCH($AE53,SBLI!$A$2:$A$37,0),IF(LOWER(TRIM($F53))="male",IF(LOWER(TRIM($K53))="yes",2,1),IF(LOWER(TRIM($K53))="yes",4,3))),_xlpm.coverage,VALUE(SUBSTITUTE(SUBSTITUTE($S53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3" s="80">
        <f t="array" ref="AI53">IFERROR(_xlfn.LET(_xlpm.rate,INDEX('SBLI-Modified'!$B$2:$E$27,MATCH($AE53,'SBLI-Modified'!$A$2:$A$27,0),IF(LOWER(TRIM($F53))="male",IF(LOWER(TRIM($K53))="yes",2,1),IF(LOWER(TRIM($K53))="yes",4,3))),_xlpm.coverage,VALUE(SUBSTITUTE(SUBSTITUTE($S53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3" s="80">
        <f t="array" ref="AJ53">IFERROR(_xlfn.LET(_xlpm.rate,INDEX(CICA!$B$2:$C$42,MATCH($AE53,CICA!$A$2:$A$42,0),IF(LOWER(TRIM($F53))="male",1,2)),_xlpm.coverage,VALUE(SUBSTITUTE(SUBSTITUTE($S53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3" s="80">
        <f t="array" ref="AK53">IFERROR(_xlfn.LET(_xlpm.rate,INDEX('CICA-GI'!$B$2:$C$47,MATCH($AE53,'CICA-GI'!$A$2:$A$47,0),IF(LOWER(TRIM($F53))="male",1,2)),_xlpm.coverage,VALUE(SUBSTITUTE(SUBSTITUTE($S53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3" s="80">
        <f t="array" ref="AL53">IFERROR(_xlfn.LET(_xlpm.rate,INDEX(gtl!$B$2:$C$52,MATCH($AE53,gtl!$A$2:$A$52,0),IF(LOWER(TRIM($F53))="male",1,2)),_xlpm.coverage,VALUE(SUBSTITUTE(SUBSTITUTE($S53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3" s="80">
        <f t="array" ref="AM53">IFERROR(_xlfn.LET(_xlpm.rate,INDEX(TransAmerica!$B$2:$E$69,MATCH($AE53,TransAmerica!$A$2:$A$69,0),IF(LOWER(TRIM($F53))="male",IF(LOWER(TRIM($K53))="yes",2,1),IF(LOWER(TRIM($K53))="yes",4,3))),_xlpm.coverage,VALUE(SUBSTITUTE(SUBSTITUTE($S53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3" s="80">
        <f t="array" ref="AN53">IFERROR(_xlfn.LET(_xlpm.rate,INDEX('TransAmerica Graded'!$B$2:$E$64,MATCH($AE53,'TransAmerica Graded'!$A$2:$A$64,0),IF(LOWER(TRIM($F53))="male",IF(LOWER(TRIM($K53))="yes",2,1),IF(LOWER(TRIM($K53))="yes",4,3))),_xlpm.coverage,VALUE(SUBSTITUTE(SUBSTITUTE($S53,"$",""),",","")),_xlpm.base,_xlpm.rate*(_xlpm.coverage/1000),_xlpm.fee,_xlfn.XLOOKUP("TransAmerica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3" s="80">
        <f t="array" ref="AO53">IFERROR(_xlfn.LET(_xlpm.rate,INDEX(Corebridge!$B$2:$C$32,MATCH($AE53,Corebridge!$A$2:$A$32,0),IF(LOWER(TRIM($F53))="male",1,2)),_xlpm.coverage,VALUE(SUBSTITUTE(SUBSTITUTE($S53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3" s="80">
        <f t="array" ref="AP53">IFERROR(_xlfn.LET(_xlpm.rate,INDEX(amam!$B$2:$E$37,MATCH($AE53,amam!$A$2:$A$37,0),IF(LOWER(TRIM($F53))="male",IF(LOWER(TRIM($K53))="yes",2,1),IF(LOWER(TRIM($K53))="yes",4,3))),_xlpm.coverage,VALUE(SUBSTITUTE(SUBSTITUTE($S53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3" s="80">
        <f t="array" ref="AQ53">IFERROR(_xlfn.LET(_xlpm.rate,INDEX('amam-graded'!$B$2:$E$37,MATCH($AE53,'amam-graded'!$A$2:$A$37,0),IF(LOWER(TRIM($F53))="male",IF(LOWER(TRIM($K53))="yes",2,1),IF(LOWER(TRIM($K53))="yes",4,3))),_xlpm.coverage,VALUE(SUBSTITUTE(SUBSTITUTE($S53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3" s="80">
        <f t="array" ref="AR53">IFERROR(_xlfn.LET(_xlpm.rate,INDEX('amam-return-or-premium'!$B$2:$E$37,MATCH($AE53,'amam-return-or-premium'!$A$2:$A$37,0),IF(LOWER(TRIM($F53))="male",IF(LOWER(TRIM($K53))="yes",2,1),IF(LOWER(TRIM($K53))="yes",4,3))),_xlpm.coverage,VALUE(SUBSTITUTE(SUBSTITUTE($S53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3" s="80">
        <f t="array" ref="AS53">IFERROR(_xlfn.LET(_xlpm.rate,INDEX(AHL!$B$2:$E$37,MATCH($AE53,AHL!$A$2:$A$37,0),IF(LOWER(TRIM($F53))="male",IF(LOWER(TRIM($K53))="yes",2,1),IF(LOWER(TRIM($K53))="yes",4,3))),_xlpm.coverage,VALUE(SUBSTITUTE(SUBSTITUTE($S53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3" s="80">
        <f t="array" ref="AT53">IFERROR(_xlfn.LET(_xlpm.rate,INDEX('AHL-Graded'!$B$2:$E$32,MATCH($AE53,'AHL-Graded'!$A$2:$A$32,0),IF(LOWER(TRIM($F53))="male",IF(LOWER(TRIM($K53))="yes",2,1),IF(LOWER(TRIM($K53))="yes",4,3))),_xlpm.coverage,VALUE(SUBSTITUTE(SUBSTITUTE($S53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3" s="80">
        <f t="array" ref="AU53">IFERROR(_xlfn.LET(_xlpm.rate,INDEX('Royal Neighbors'!$B$2:$E$37,MATCH($AE53,'Royal Neighbors'!$A$2:$A$37,0),IF(LOWER(TRIM($F53))="male",IF(LOWER(TRIM($K53))="yes",2,1),IF(LOWER(TRIM($K53))="yes",4,3))),_xlpm.coverage,VALUE(SUBSTITUTE(SUBSTITUTE($S53,"$",""),",","")),_xlpm.base,_xlpm.rate*(_xlpm.coverage/1000),_xlpm.fee,_xlfn.XLOOKUP("Royal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3" s="80">
        <f t="array" ref="AV53">IFERROR(_xlfn.LET(_xlpm.rate,INDEX('Royal Neighbors-Graded'!$B$2:$E$37,MATCH($AE53,'Royal Neighbors-Graded'!$A$2:$A$37,0),IF(LOWER(TRIM($F53))="male",IF(LOWER(TRIM($K53))="yes",2,1),IF(LOWER(TRIM($K53))="yes",4,3))),_xlpm.coverage,VALUE(SUBSTITUTE(SUBSTITUTE($S53,"$",""),",","")),_xlpm.base,_xlpm.rate*(_xlpm.coverage/1000),_xlpm.fee,_xlfn.XLOOKUP("Royal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3" s="80">
        <f t="array" ref="AW53">IFERROR(_xlfn.LET(_xlpm.rate,INDEX('Gerber-GI'!$B$2:$C$32,MATCH($AE53,'Gerber-GI'!$A$2:$A$32,0),IF(LOWER(TRIM($F53))="male",1,2)),_xlpm.coverage,VALUE(SUBSTITUTE(SUBSTITUTE($S53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3" s="80">
        <f t="array" ref="AX53">IFERROR(_xlfn.LET(_xlpm.rate,INDEX('Mutual of Omaha'!$B$2:$E$42,MATCH($AE53,'Mutual of Omaha'!$A$2:$A$42,0),IF(LOWER(TRIM($F53))="male",IF(LOWER(TRIM($K53))="yes",2,1),IF(LOWER(TRIM($K53))="yes",4,3))),_xlpm.coverage,VALUE(SUBSTITUTE(SUBSTITUTE($S53,"$",""),",","")),_xlpm.base,_xlpm.rate*(_xlpm.coverage/1000),_xlpm.fee,_xlfn.XLOOKUP("Mutal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3" s="80">
        <f t="array" ref="AY53">IFERROR(_xlfn.LET(_xlpm.rate,INDEX('Mutual of Omaha-Graded'!$B$2:$E$37,MATCH($AE53,'Mutual of Omaha-Graded'!$A$2:$A$37,0),IF(LOWER(TRIM($F53))="male",IF(LOWER(TRIM($K53))="yes",2,1),IF(LOWER(TRIM($K53))="yes",4,3))),_xlpm.coverage,VALUE(SUBSTITUTE(SUBSTITUTE($S53,"$",""),",","")),_xlpm.base,_xlpm.rate*(_xlpm.coverage/1000),_xlpm.fee,_xlfn.XLOOKUP("Mutual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3" s="80">
        <f>AP53</f>
        <v/>
      </c>
      <c r="BA53" s="80">
        <f>IFERROR(IF(AND(AP53&gt;0,AP53&lt;VALUE(SUBSTITUTE(SUBSTITUTE($T53,"$",""),",",""))),VALUE(SUBSTITUTE(SUBSTITUTE($T53,"$",""),",",""))-AP53,""),"")</f>
        <v/>
      </c>
      <c r="BB53" s="80">
        <f>AL53</f>
        <v/>
      </c>
      <c r="BC53" s="80">
        <f>IFERROR(IF(AND(AL53&gt;0,AL53&lt;VALUE(SUBSTITUTE(SUBSTITUTE($T53,"$",""),",",""))),VALUE(SUBSTITUTE(SUBSTITUTE($T53,"$",""),",",""))-AL53,""),"")</f>
        <v/>
      </c>
      <c r="BD53">
        <f t="array" ref="BD53">IFERROR(_xlfn.LET(_xlpm.current,VALUE(SUBSTITUTE(SUBSTITUTE($T53,"$",""),",","")),_xlpm.quotes,AF53:AY53,_xlpm.lowest,_xlfn.MINIFS(_xlpm.quotes,_xlpm.quotes,"&lt;"&amp;_xlpm.current,_xlpm.quotes,"&gt;0"),IF(_xlpm.lowest="","",SUBSTITUTE(INDEX($AF$1:$AY$1,1,MATCH(_xlpm.lowest,_xlpm.quotes,0))," Monthly Quote",""))),"")</f>
        <v/>
      </c>
      <c r="BE53" s="80">
        <f t="array" ref="BE53">IFERROR(_xlfn.LET(_xlpm.current,VALUE(SUBSTITUTE(SUBSTITUTE($T53,"$",""),",","")),_xlpm.quotes,AF53:AY53,_xlpm.lowest,_xlfn.MINIFS(_xlpm.quotes,_xlpm.quotes,"&lt;"&amp;_xlpm.current,_xlpm.quotes,"&gt;0"),IF(_xlpm.lowest="","",_xlpm.current-_xlpm.lowest)),"")</f>
        <v/>
      </c>
    </row>
    <row r="54">
      <c r="A54" s="67" t="inlineStr">
        <is>
          <t>Margaret J</t>
        </is>
      </c>
      <c r="B54" s="67" t="inlineStr">
        <is>
          <t>Shue</t>
        </is>
      </c>
      <c r="C54" s="68" t="n">
        <v>2392677272</v>
      </c>
      <c r="D54" s="68" t="n">
        <v>79</v>
      </c>
      <c r="E54" s="69" t="n">
        <v>16809</v>
      </c>
      <c r="F54" s="67" t="inlineStr">
        <is>
          <t>F</t>
        </is>
      </c>
      <c r="G54" s="67" t="inlineStr">
        <is>
          <t>8309 Bahamas Rd Fort Myers, FL 33967</t>
        </is>
      </c>
      <c r="H54" s="67" t="inlineStr">
        <is>
          <t>MD</t>
        </is>
      </c>
      <c r="I54" s="68" t="n">
        <v>5.4</v>
      </c>
      <c r="J54" s="68" t="n">
        <v>145</v>
      </c>
      <c r="K54" s="67" t="inlineStr">
        <is>
          <t>No</t>
        </is>
      </c>
      <c r="L54" s="67" t="n"/>
      <c r="M54" s="67" t="inlineStr">
        <is>
          <t>Burial</t>
        </is>
      </c>
      <c r="N54" s="67" t="inlineStr">
        <is>
          <t>Troy Shue</t>
        </is>
      </c>
      <c r="O54" s="67" t="inlineStr">
        <is>
          <t>Son</t>
        </is>
      </c>
      <c r="P54" s="67" t="n"/>
      <c r="Q54" s="67" t="n"/>
      <c r="R54" s="67" t="inlineStr">
        <is>
          <t>AIG</t>
        </is>
      </c>
      <c r="S54" s="70" t="n">
        <v>5000</v>
      </c>
      <c r="T54" s="68" t="n">
        <v>97.5</v>
      </c>
      <c r="U54" s="69" t="n">
        <v>45980</v>
      </c>
      <c r="V54" s="69" t="n">
        <v>46008</v>
      </c>
      <c r="W54" s="68" t="n">
        <v>217506812</v>
      </c>
      <c r="X54" s="67" t="inlineStr">
        <is>
          <t>Nil</t>
        </is>
      </c>
      <c r="Y54" s="67" t="inlineStr">
        <is>
          <t>Truist Bank</t>
        </is>
      </c>
      <c r="Z54" s="68" t="n">
        <v>63102152</v>
      </c>
      <c r="AA54" s="68" t="n">
        <v>2111830594</v>
      </c>
      <c r="AB54" s="67" t="inlineStr">
        <is>
          <t>N/A</t>
        </is>
      </c>
      <c r="AC54" s="67" t="inlineStr">
        <is>
          <t>N/A</t>
        </is>
      </c>
      <c r="AD54" s="67" t="inlineStr">
        <is>
          <t>Dr. Ziad Shahla</t>
        </is>
      </c>
      <c r="AE54" s="68" t="n">
        <v>80</v>
      </c>
      <c r="AF54" s="80">
        <f t="array" ref="AF54">IFERROR(_xlfn.LET(_xlpm.rate,INDEX(aflac!$B$2:$E$37,MATCH($AE54,aflac!$A$2:$A$37,0),IF(LOWER(TRIM($F54))="male",IF(LOWER(TRIM($K54))="yes",2,1),IF(LOWER(TRIM($K54))="yes",4,3))),_xlpm.coverage,VALUE(SUBSTITUTE(SUBSTITUTE($S54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4" s="80">
        <f t="array" ref="AG54">IFERROR(_xlfn.LET(_xlpm.rate,INDEX('aflac-modified'!$B$2:$C$32,MATCH($AE54,'aflac-modified'!$A$2:$A$32,0),IF(LOWER(TRIM($F54))="male",1,2)),_xlpm.coverage,VALUE(SUBSTITUTE(SUBSTITUTE($S54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4" s="80">
        <f t="array" ref="AH54">IFERROR(_xlfn.LET(_xlpm.rate,INDEX(SBLI!$B$2:$E$37,MATCH($AE54,SBLI!$A$2:$A$37,0),IF(LOWER(TRIM($F54))="male",IF(LOWER(TRIM($K54))="yes",2,1),IF(LOWER(TRIM($K54))="yes",4,3))),_xlpm.coverage,VALUE(SUBSTITUTE(SUBSTITUTE($S54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4" s="80">
        <f t="array" ref="AI54">IFERROR(_xlfn.LET(_xlpm.rate,INDEX('SBLI-Modified'!$B$2:$E$27,MATCH($AE54,'SBLI-Modified'!$A$2:$A$27,0),IF(LOWER(TRIM($F54))="male",IF(LOWER(TRIM($K54))="yes",2,1),IF(LOWER(TRIM($K54))="yes",4,3))),_xlpm.coverage,VALUE(SUBSTITUTE(SUBSTITUTE($S54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4" s="80">
        <f t="array" ref="AJ54">IFERROR(_xlfn.LET(_xlpm.rate,INDEX(CICA!$B$2:$C$42,MATCH($AE54,CICA!$A$2:$A$42,0),IF(LOWER(TRIM($F54))="male",1,2)),_xlpm.coverage,VALUE(SUBSTITUTE(SUBSTITUTE($S54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4" s="80">
        <f t="array" ref="AK54">IFERROR(_xlfn.LET(_xlpm.rate,INDEX('CICA-GI'!$B$2:$C$47,MATCH($AE54,'CICA-GI'!$A$2:$A$47,0),IF(LOWER(TRIM($F54))="male",1,2)),_xlpm.coverage,VALUE(SUBSTITUTE(SUBSTITUTE($S54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4" s="80">
        <f t="array" ref="AL54">IFERROR(_xlfn.LET(_xlpm.rate,INDEX(gtl!$B$2:$C$52,MATCH($AE54,gtl!$A$2:$A$52,0),IF(LOWER(TRIM($F54))="male",1,2)),_xlpm.coverage,VALUE(SUBSTITUTE(SUBSTITUTE($S54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4" s="80">
        <f t="array" ref="AM54">IFERROR(_xlfn.LET(_xlpm.rate,INDEX(TransAmerica!$B$2:$E$69,MATCH($AE54,TransAmerica!$A$2:$A$69,0),IF(LOWER(TRIM($F54))="male",IF(LOWER(TRIM($K54))="yes",2,1),IF(LOWER(TRIM($K54))="yes",4,3))),_xlpm.coverage,VALUE(SUBSTITUTE(SUBSTITUTE($S54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4" s="80">
        <f t="array" ref="AN54">IFERROR(_xlfn.LET(_xlpm.rate,INDEX('TransAmerica Graded'!$B$2:$E$64,MATCH($AE54,'TransAmerica Graded'!$A$2:$A$64,0),IF(LOWER(TRIM($F54))="male",IF(LOWER(TRIM($K54))="yes",2,1),IF(LOWER(TRIM($K54))="yes",4,3))),_xlpm.coverage,VALUE(SUBSTITUTE(SUBSTITUTE($S54,"$",""),",","")),_xlpm.base,_xlpm.rate*(_xlpm.coverage/1000),_xlpm.fee,_xlfn.XLOOKUP("TransAmerica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4" s="80">
        <f t="array" ref="AO54">IFERROR(_xlfn.LET(_xlpm.rate,INDEX(Corebridge!$B$2:$C$32,MATCH($AE54,Corebridge!$A$2:$A$32,0),IF(LOWER(TRIM($F54))="male",1,2)),_xlpm.coverage,VALUE(SUBSTITUTE(SUBSTITUTE($S54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4" s="80">
        <f t="array" ref="AP54">IFERROR(_xlfn.LET(_xlpm.rate,INDEX(amam!$B$2:$E$37,MATCH($AE54,amam!$A$2:$A$37,0),IF(LOWER(TRIM($F54))="male",IF(LOWER(TRIM($K54))="yes",2,1),IF(LOWER(TRIM($K54))="yes",4,3))),_xlpm.coverage,VALUE(SUBSTITUTE(SUBSTITUTE($S54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4" s="80">
        <f t="array" ref="AQ54">IFERROR(_xlfn.LET(_xlpm.rate,INDEX('amam-graded'!$B$2:$E$37,MATCH($AE54,'amam-graded'!$A$2:$A$37,0),IF(LOWER(TRIM($F54))="male",IF(LOWER(TRIM($K54))="yes",2,1),IF(LOWER(TRIM($K54))="yes",4,3))),_xlpm.coverage,VALUE(SUBSTITUTE(SUBSTITUTE($S54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4" s="80">
        <f t="array" ref="AR54">IFERROR(_xlfn.LET(_xlpm.rate,INDEX('amam-return-or-premium'!$B$2:$E$37,MATCH($AE54,'amam-return-or-premium'!$A$2:$A$37,0),IF(LOWER(TRIM($F54))="male",IF(LOWER(TRIM($K54))="yes",2,1),IF(LOWER(TRIM($K54))="yes",4,3))),_xlpm.coverage,VALUE(SUBSTITUTE(SUBSTITUTE($S54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4" s="80">
        <f t="array" ref="AS54">IFERROR(_xlfn.LET(_xlpm.rate,INDEX(AHL!$B$2:$E$37,MATCH($AE54,AHL!$A$2:$A$37,0),IF(LOWER(TRIM($F54))="male",IF(LOWER(TRIM($K54))="yes",2,1),IF(LOWER(TRIM($K54))="yes",4,3))),_xlpm.coverage,VALUE(SUBSTITUTE(SUBSTITUTE($S54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4" s="80">
        <f t="array" ref="AT54">IFERROR(_xlfn.LET(_xlpm.rate,INDEX('AHL-Graded'!$B$2:$E$32,MATCH($AE54,'AHL-Graded'!$A$2:$A$32,0),IF(LOWER(TRIM($F54))="male",IF(LOWER(TRIM($K54))="yes",2,1),IF(LOWER(TRIM($K54))="yes",4,3))),_xlpm.coverage,VALUE(SUBSTITUTE(SUBSTITUTE($S54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4" s="80">
        <f t="array" ref="AU54">IFERROR(_xlfn.LET(_xlpm.rate,INDEX('Royal Neighbors'!$B$2:$E$37,MATCH($AE54,'Royal Neighbors'!$A$2:$A$37,0),IF(LOWER(TRIM($F54))="male",IF(LOWER(TRIM($K54))="yes",2,1),IF(LOWER(TRIM($K54))="yes",4,3))),_xlpm.coverage,VALUE(SUBSTITUTE(SUBSTITUTE($S54,"$",""),",","")),_xlpm.base,_xlpm.rate*(_xlpm.coverage/1000),_xlpm.fee,_xlfn.XLOOKUP("Royal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4" s="80">
        <f t="array" ref="AV54">IFERROR(_xlfn.LET(_xlpm.rate,INDEX('Royal Neighbors-Graded'!$B$2:$E$37,MATCH($AE54,'Royal Neighbors-Graded'!$A$2:$A$37,0),IF(LOWER(TRIM($F54))="male",IF(LOWER(TRIM($K54))="yes",2,1),IF(LOWER(TRIM($K54))="yes",4,3))),_xlpm.coverage,VALUE(SUBSTITUTE(SUBSTITUTE($S54,"$",""),",","")),_xlpm.base,_xlpm.rate*(_xlpm.coverage/1000),_xlpm.fee,_xlfn.XLOOKUP("Royal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4" s="80">
        <f t="array" ref="AW54">IFERROR(_xlfn.LET(_xlpm.rate,INDEX('Gerber-GI'!$B$2:$C$32,MATCH($AE54,'Gerber-GI'!$A$2:$A$32,0),IF(LOWER(TRIM($F54))="male",1,2)),_xlpm.coverage,VALUE(SUBSTITUTE(SUBSTITUTE($S54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4" s="80">
        <f t="array" ref="AX54">IFERROR(_xlfn.LET(_xlpm.rate,INDEX('Mutual of Omaha'!$B$2:$E$42,MATCH($AE54,'Mutual of Omaha'!$A$2:$A$42,0),IF(LOWER(TRIM($F54))="male",IF(LOWER(TRIM($K54))="yes",2,1),IF(LOWER(TRIM($K54))="yes",4,3))),_xlpm.coverage,VALUE(SUBSTITUTE(SUBSTITUTE($S54,"$",""),",","")),_xlpm.base,_xlpm.rate*(_xlpm.coverage/1000),_xlpm.fee,_xlfn.XLOOKUP("Mutal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4" s="80">
        <f t="array" ref="AY54">IFERROR(_xlfn.LET(_xlpm.rate,INDEX('Mutual of Omaha-Graded'!$B$2:$E$37,MATCH($AE54,'Mutual of Omaha-Graded'!$A$2:$A$37,0),IF(LOWER(TRIM($F54))="male",IF(LOWER(TRIM($K54))="yes",2,1),IF(LOWER(TRIM($K54))="yes",4,3))),_xlpm.coverage,VALUE(SUBSTITUTE(SUBSTITUTE($S54,"$",""),",","")),_xlpm.base,_xlpm.rate*(_xlpm.coverage/1000),_xlpm.fee,_xlfn.XLOOKUP("Mutual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4" s="80">
        <f>AP54</f>
        <v/>
      </c>
      <c r="BA54" s="80">
        <f>IFERROR(IF(AND(AP54&gt;0,AP54&lt;VALUE(SUBSTITUTE(SUBSTITUTE($T54,"$",""),",",""))),VALUE(SUBSTITUTE(SUBSTITUTE($T54,"$",""),",",""))-AP54,""),"")</f>
        <v/>
      </c>
      <c r="BB54" s="80">
        <f>AL54</f>
        <v/>
      </c>
      <c r="BC54" s="80">
        <f>IFERROR(IF(AND(AL54&gt;0,AL54&lt;VALUE(SUBSTITUTE(SUBSTITUTE($T54,"$",""),",",""))),VALUE(SUBSTITUTE(SUBSTITUTE($T54,"$",""),",",""))-AL54,""),"")</f>
        <v/>
      </c>
      <c r="BD54">
        <f t="array" ref="BD54">IFERROR(_xlfn.LET(_xlpm.current,VALUE(SUBSTITUTE(SUBSTITUTE($T54,"$",""),",","")),_xlpm.quotes,AF54:AY54,_xlpm.lowest,_xlfn.MINIFS(_xlpm.quotes,_xlpm.quotes,"&lt;"&amp;_xlpm.current,_xlpm.quotes,"&gt;0"),IF(_xlpm.lowest="","",SUBSTITUTE(INDEX($AF$1:$AY$1,1,MATCH(_xlpm.lowest,_xlpm.quotes,0))," Monthly Quote",""))),"")</f>
        <v/>
      </c>
      <c r="BE54" s="80">
        <f t="array" ref="BE54">IFERROR(_xlfn.LET(_xlpm.current,VALUE(SUBSTITUTE(SUBSTITUTE($T54,"$",""),",","")),_xlpm.quotes,AF54:AY54,_xlpm.lowest,_xlfn.MINIFS(_xlpm.quotes,_xlpm.quotes,"&lt;"&amp;_xlpm.current,_xlpm.quotes,"&gt;0"),IF(_xlpm.lowest="","",_xlpm.current-_xlpm.lowest)),"")</f>
        <v/>
      </c>
    </row>
    <row r="55">
      <c r="A55" s="63" t="inlineStr">
        <is>
          <t>Vickie</t>
        </is>
      </c>
      <c r="B55" s="63" t="inlineStr">
        <is>
          <t>Upshaw</t>
        </is>
      </c>
      <c r="C55" s="64" t="n">
        <v>4174371771</v>
      </c>
      <c r="D55" s="64" t="n">
        <v>69</v>
      </c>
      <c r="E55" s="65" t="n">
        <v>20584</v>
      </c>
      <c r="F55" s="63" t="inlineStr">
        <is>
          <t>Female</t>
        </is>
      </c>
      <c r="G55" s="63" t="inlineStr">
        <is>
          <t>6350 Spurgeon Rd #24, Joplin, MO, 64804</t>
        </is>
      </c>
      <c r="H55" s="63" t="inlineStr">
        <is>
          <t>TX</t>
        </is>
      </c>
      <c r="I55" s="64" t="n">
        <v>5.3</v>
      </c>
      <c r="J55" s="64" t="n">
        <v>211</v>
      </c>
      <c r="K55" s="63" t="inlineStr">
        <is>
          <t>No</t>
        </is>
      </c>
      <c r="L55" s="63" t="n"/>
      <c r="M55" s="63" t="inlineStr">
        <is>
          <t>Burial</t>
        </is>
      </c>
      <c r="N55" s="63" t="inlineStr">
        <is>
          <t>Jessica Brooks</t>
        </is>
      </c>
      <c r="O55" s="63" t="inlineStr">
        <is>
          <t>Daughter</t>
        </is>
      </c>
      <c r="P55" s="63" t="n"/>
      <c r="Q55" s="63" t="n"/>
      <c r="R55" s="63" t="inlineStr">
        <is>
          <t>AIG</t>
        </is>
      </c>
      <c r="S55" s="66" t="n">
        <v>5000</v>
      </c>
      <c r="T55" s="64" t="n">
        <v>43.44</v>
      </c>
      <c r="U55" s="65" t="n">
        <v>45994</v>
      </c>
      <c r="V55" s="65" t="n">
        <v>46025</v>
      </c>
      <c r="W55" s="64" t="n">
        <v>457212110</v>
      </c>
      <c r="X55" s="63" t="inlineStr">
        <is>
          <t>N/A</t>
        </is>
      </c>
      <c r="Y55" s="63" t="inlineStr">
        <is>
          <t>Direct Express</t>
        </is>
      </c>
      <c r="Z55" s="63" t="inlineStr">
        <is>
          <t>5332 4800 6720 4992</t>
        </is>
      </c>
      <c r="AA55" s="63" t="inlineStr">
        <is>
          <t>Exp 10/31/30 CVC 476</t>
        </is>
      </c>
      <c r="AB55" s="63" t="inlineStr">
        <is>
          <t>Pain Urinary Spasm High Cholesterol Medications Loratadine Atorvastatin Oxybutynin Gabapentin</t>
        </is>
      </c>
      <c r="AC55" s="63" t="inlineStr">
        <is>
          <t>Pain Urinary Spasm High Cholesterol Medications Loratadine Atorvastatin Oxybutynin Gabapentin</t>
        </is>
      </c>
      <c r="AD55" s="63" t="inlineStr">
        <is>
          <t>Dr. Ashley N. Broce</t>
        </is>
      </c>
      <c r="AE55" s="64" t="n">
        <v>70</v>
      </c>
      <c r="AF55" s="80">
        <f t="array" ref="AF55">IFERROR(_xlfn.LET(_xlpm.rate,INDEX(aflac!$B$2:$E$37,MATCH($AE55,aflac!$A$2:$A$37,0),IF(LOWER(TRIM($F55))="male",IF(LOWER(TRIM($K55))="yes",2,1),IF(LOWER(TRIM($K55))="yes",4,3))),_xlpm.coverage,VALUE(SUBSTITUTE(SUBSTITUTE($S55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5" s="80">
        <f t="array" ref="AG55">IFERROR(_xlfn.LET(_xlpm.rate,INDEX('aflac-modified'!$B$2:$C$32,MATCH($AE55,'aflac-modified'!$A$2:$A$32,0),IF(LOWER(TRIM($F55))="male",1,2)),_xlpm.coverage,VALUE(SUBSTITUTE(SUBSTITUTE($S55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5" s="80">
        <f t="array" ref="AH55">IFERROR(_xlfn.LET(_xlpm.rate,INDEX(SBLI!$B$2:$E$37,MATCH($AE55,SBLI!$A$2:$A$37,0),IF(LOWER(TRIM($F55))="male",IF(LOWER(TRIM($K55))="yes",2,1),IF(LOWER(TRIM($K55))="yes",4,3))),_xlpm.coverage,VALUE(SUBSTITUTE(SUBSTITUTE($S55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5" s="80">
        <f t="array" ref="AI55">IFERROR(_xlfn.LET(_xlpm.rate,INDEX('SBLI-Modified'!$B$2:$E$27,MATCH($AE55,'SBLI-Modified'!$A$2:$A$27,0),IF(LOWER(TRIM($F55))="male",IF(LOWER(TRIM($K55))="yes",2,1),IF(LOWER(TRIM($K55))="yes",4,3))),_xlpm.coverage,VALUE(SUBSTITUTE(SUBSTITUTE($S55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5" s="80">
        <f t="array" ref="AJ55">IFERROR(_xlfn.LET(_xlpm.rate,INDEX(CICA!$B$2:$C$42,MATCH($AE55,CICA!$A$2:$A$42,0),IF(LOWER(TRIM($F55))="male",1,2)),_xlpm.coverage,VALUE(SUBSTITUTE(SUBSTITUTE($S55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5" s="80">
        <f t="array" ref="AK55">IFERROR(_xlfn.LET(_xlpm.rate,INDEX('CICA-GI'!$B$2:$C$47,MATCH($AE55,'CICA-GI'!$A$2:$A$47,0),IF(LOWER(TRIM($F55))="male",1,2)),_xlpm.coverage,VALUE(SUBSTITUTE(SUBSTITUTE($S55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5" s="80">
        <f t="array" ref="AL55">IFERROR(_xlfn.LET(_xlpm.rate,INDEX(gtl!$B$2:$C$52,MATCH($AE55,gtl!$A$2:$A$52,0),IF(LOWER(TRIM($F55))="male",1,2)),_xlpm.coverage,VALUE(SUBSTITUTE(SUBSTITUTE($S55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5" s="80">
        <f t="array" ref="AM55">IFERROR(_xlfn.LET(_xlpm.rate,INDEX(TransAmerica!$B$2:$E$69,MATCH($AE55,TransAmerica!$A$2:$A$69,0),IF(LOWER(TRIM($F55))="male",IF(LOWER(TRIM($K55))="yes",2,1),IF(LOWER(TRIM($K55))="yes",4,3))),_xlpm.coverage,VALUE(SUBSTITUTE(SUBSTITUTE($S55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5" s="80">
        <f t="array" ref="AN55">IFERROR(_xlfn.LET(_xlpm.rate,INDEX('TransAmerica Graded'!$B$2:$E$64,MATCH($AE55,'TransAmerica Graded'!$A$2:$A$64,0),IF(LOWER(TRIM($F55))="male",IF(LOWER(TRIM($K55))="yes",2,1),IF(LOWER(TRIM($K55))="yes",4,3))),_xlpm.coverage,VALUE(SUBSTITUTE(SUBSTITUTE($S55,"$",""),",","")),_xlpm.base,_xlpm.rate*(_xlpm.coverage/1000),_xlpm.fee,_xlfn.XLOOKUP("TransAmerica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5" s="80">
        <f t="array" ref="AO55">IFERROR(_xlfn.LET(_xlpm.rate,INDEX(Corebridge!$B$2:$C$32,MATCH($AE55,Corebridge!$A$2:$A$32,0),IF(LOWER(TRIM($F55))="male",1,2)),_xlpm.coverage,VALUE(SUBSTITUTE(SUBSTITUTE($S55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5" s="80">
        <f t="array" ref="AP55">IFERROR(_xlfn.LET(_xlpm.rate,INDEX(amam!$B$2:$E$37,MATCH($AE55,amam!$A$2:$A$37,0),IF(LOWER(TRIM($F55))="male",IF(LOWER(TRIM($K55))="yes",2,1),IF(LOWER(TRIM($K55))="yes",4,3))),_xlpm.coverage,VALUE(SUBSTITUTE(SUBSTITUTE($S55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5" s="80">
        <f t="array" ref="AQ55">IFERROR(_xlfn.LET(_xlpm.rate,INDEX('amam-graded'!$B$2:$E$37,MATCH($AE55,'amam-graded'!$A$2:$A$37,0),IF(LOWER(TRIM($F55))="male",IF(LOWER(TRIM($K55))="yes",2,1),IF(LOWER(TRIM($K55))="yes",4,3))),_xlpm.coverage,VALUE(SUBSTITUTE(SUBSTITUTE($S55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5" s="80">
        <f t="array" ref="AR55">IFERROR(_xlfn.LET(_xlpm.rate,INDEX('amam-return-or-premium'!$B$2:$E$37,MATCH($AE55,'amam-return-or-premium'!$A$2:$A$37,0),IF(LOWER(TRIM($F55))="male",IF(LOWER(TRIM($K55))="yes",2,1),IF(LOWER(TRIM($K55))="yes",4,3))),_xlpm.coverage,VALUE(SUBSTITUTE(SUBSTITUTE($S55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5" s="80">
        <f t="array" ref="AS55">IFERROR(_xlfn.LET(_xlpm.rate,INDEX(AHL!$B$2:$E$37,MATCH($AE55,AHL!$A$2:$A$37,0),IF(LOWER(TRIM($F55))="male",IF(LOWER(TRIM($K55))="yes",2,1),IF(LOWER(TRIM($K55))="yes",4,3))),_xlpm.coverage,VALUE(SUBSTITUTE(SUBSTITUTE($S55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5" s="80">
        <f t="array" ref="AT55">IFERROR(_xlfn.LET(_xlpm.rate,INDEX('AHL-Graded'!$B$2:$E$32,MATCH($AE55,'AHL-Graded'!$A$2:$A$32,0),IF(LOWER(TRIM($F55))="male",IF(LOWER(TRIM($K55))="yes",2,1),IF(LOWER(TRIM($K55))="yes",4,3))),_xlpm.coverage,VALUE(SUBSTITUTE(SUBSTITUTE($S55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5" s="80">
        <f t="array" ref="AU55">IFERROR(_xlfn.LET(_xlpm.rate,INDEX('Royal Neighbors'!$B$2:$E$37,MATCH($AE55,'Royal Neighbors'!$A$2:$A$37,0),IF(LOWER(TRIM($F55))="male",IF(LOWER(TRIM($K55))="yes",2,1),IF(LOWER(TRIM($K55))="yes",4,3))),_xlpm.coverage,VALUE(SUBSTITUTE(SUBSTITUTE($S55,"$",""),",","")),_xlpm.base,_xlpm.rate*(_xlpm.coverage/1000),_xlpm.fee,_xlfn.XLOOKUP("Royal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5" s="80">
        <f t="array" ref="AV55">IFERROR(_xlfn.LET(_xlpm.rate,INDEX('Royal Neighbors-Graded'!$B$2:$E$37,MATCH($AE55,'Royal Neighbors-Graded'!$A$2:$A$37,0),IF(LOWER(TRIM($F55))="male",IF(LOWER(TRIM($K55))="yes",2,1),IF(LOWER(TRIM($K55))="yes",4,3))),_xlpm.coverage,VALUE(SUBSTITUTE(SUBSTITUTE($S55,"$",""),",","")),_xlpm.base,_xlpm.rate*(_xlpm.coverage/1000),_xlpm.fee,_xlfn.XLOOKUP("Royal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5" s="80">
        <f t="array" ref="AW55">IFERROR(_xlfn.LET(_xlpm.rate,INDEX('Gerber-GI'!$B$2:$C$32,MATCH($AE55,'Gerber-GI'!$A$2:$A$32,0),IF(LOWER(TRIM($F55))="male",1,2)),_xlpm.coverage,VALUE(SUBSTITUTE(SUBSTITUTE($S55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5" s="80">
        <f t="array" ref="AX55">IFERROR(_xlfn.LET(_xlpm.rate,INDEX('Mutual of Omaha'!$B$2:$E$42,MATCH($AE55,'Mutual of Omaha'!$A$2:$A$42,0),IF(LOWER(TRIM($F55))="male",IF(LOWER(TRIM($K55))="yes",2,1),IF(LOWER(TRIM($K55))="yes",4,3))),_xlpm.coverage,VALUE(SUBSTITUTE(SUBSTITUTE($S55,"$",""),",","")),_xlpm.base,_xlpm.rate*(_xlpm.coverage/1000),_xlpm.fee,_xlfn.XLOOKUP("Mutal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5" s="80">
        <f t="array" ref="AY55">IFERROR(_xlfn.LET(_xlpm.rate,INDEX('Mutual of Omaha-Graded'!$B$2:$E$37,MATCH($AE55,'Mutual of Omaha-Graded'!$A$2:$A$37,0),IF(LOWER(TRIM($F55))="male",IF(LOWER(TRIM($K55))="yes",2,1),IF(LOWER(TRIM($K55))="yes",4,3))),_xlpm.coverage,VALUE(SUBSTITUTE(SUBSTITUTE($S55,"$",""),",","")),_xlpm.base,_xlpm.rate*(_xlpm.coverage/1000),_xlpm.fee,_xlfn.XLOOKUP("Mutual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5" s="80">
        <f>AP55</f>
        <v/>
      </c>
      <c r="BA55" s="80">
        <f>IFERROR(IF(AND(AP55&gt;0,AP55&lt;VALUE(SUBSTITUTE(SUBSTITUTE($T55,"$",""),",",""))),VALUE(SUBSTITUTE(SUBSTITUTE($T55,"$",""),",",""))-AP55,""),"")</f>
        <v/>
      </c>
      <c r="BB55" s="80">
        <f>AL55</f>
        <v/>
      </c>
      <c r="BC55" s="80">
        <f>IFERROR(IF(AND(AL55&gt;0,AL55&lt;VALUE(SUBSTITUTE(SUBSTITUTE($T55,"$",""),",",""))),VALUE(SUBSTITUTE(SUBSTITUTE($T55,"$",""),",",""))-AL55,""),"")</f>
        <v/>
      </c>
      <c r="BD55">
        <f t="array" ref="BD55">IFERROR(_xlfn.LET(_xlpm.current,VALUE(SUBSTITUTE(SUBSTITUTE($T55,"$",""),",","")),_xlpm.quotes,AF55:AY55,_xlpm.lowest,_xlfn.MINIFS(_xlpm.quotes,_xlpm.quotes,"&lt;"&amp;_xlpm.current,_xlpm.quotes,"&gt;0"),IF(_xlpm.lowest="","",SUBSTITUTE(INDEX($AF$1:$AY$1,1,MATCH(_xlpm.lowest,_xlpm.quotes,0))," Monthly Quote",""))),"")</f>
        <v/>
      </c>
      <c r="BE55" s="80">
        <f t="array" ref="BE55">IFERROR(_xlfn.LET(_xlpm.current,VALUE(SUBSTITUTE(SUBSTITUTE($T55,"$",""),",","")),_xlpm.quotes,AF55:AY55,_xlpm.lowest,_xlfn.MINIFS(_xlpm.quotes,_xlpm.quotes,"&lt;"&amp;_xlpm.current,_xlpm.quotes,"&gt;0"),IF(_xlpm.lowest="","",_xlpm.current-_xlpm.lowest)),"")</f>
        <v/>
      </c>
    </row>
    <row r="56">
      <c r="A56" s="63" t="inlineStr">
        <is>
          <t>Stacie</t>
        </is>
      </c>
      <c r="B56" s="63" t="inlineStr">
        <is>
          <t>Vassar</t>
        </is>
      </c>
      <c r="C56" s="64" t="n">
        <v>9406367084</v>
      </c>
      <c r="D56" s="64" t="n">
        <v>52</v>
      </c>
      <c r="E56" s="65" t="n">
        <v>19346</v>
      </c>
      <c r="F56" s="63" t="inlineStr">
        <is>
          <t>Female</t>
        </is>
      </c>
      <c r="G56" s="63" t="inlineStr">
        <is>
          <t>4511 Edgewood St , Wichita Falls, , TX , 76308</t>
        </is>
      </c>
      <c r="H56" s="63" t="inlineStr">
        <is>
          <t>TX</t>
        </is>
      </c>
      <c r="I56" s="64" t="n">
        <v>5.1</v>
      </c>
      <c r="J56" s="64" t="n">
        <v>170</v>
      </c>
      <c r="K56" s="63" t="inlineStr">
        <is>
          <t>No</t>
        </is>
      </c>
      <c r="L56" s="63" t="n"/>
      <c r="M56" s="63" t="inlineStr">
        <is>
          <t>Burial</t>
        </is>
      </c>
      <c r="N56" s="63" t="inlineStr">
        <is>
          <t>Leslie Vassar</t>
        </is>
      </c>
      <c r="O56" s="63" t="inlineStr">
        <is>
          <t>Husband</t>
        </is>
      </c>
      <c r="P56" s="63" t="n"/>
      <c r="Q56" s="63" t="n"/>
      <c r="R56" s="63" t="inlineStr">
        <is>
          <t>AIG</t>
        </is>
      </c>
      <c r="S56" s="66" t="n">
        <v>10000</v>
      </c>
      <c r="T56" s="64" t="n">
        <v>45</v>
      </c>
      <c r="U56" s="65" t="n">
        <v>45994</v>
      </c>
      <c r="V56" s="65" t="n">
        <v>46025</v>
      </c>
      <c r="W56" s="64" t="n">
        <v>461950783</v>
      </c>
      <c r="X56" s="63" t="inlineStr">
        <is>
          <t>N/A</t>
        </is>
      </c>
      <c r="Y56" s="63" t="inlineStr">
        <is>
          <t>TEXOMA COMMUNITY CRED UN</t>
        </is>
      </c>
      <c r="Z56" s="64" t="n">
        <v>311990294</v>
      </c>
      <c r="AA56" s="64" t="n">
        <v>64811007</v>
      </c>
      <c r="AB56" s="63" t="inlineStr">
        <is>
          <t>Memory Loss</t>
        </is>
      </c>
      <c r="AC56" s="63" t="inlineStr">
        <is>
          <t>Memory Loss (Memantine)</t>
        </is>
      </c>
      <c r="AD56" s="63" t="inlineStr">
        <is>
          <t>Dr. Lowell Rollins</t>
        </is>
      </c>
      <c r="AE56" s="64" t="n">
        <v>73</v>
      </c>
      <c r="AF56" s="80">
        <f t="array" ref="AF56">IFERROR(_xlfn.LET(_xlpm.rate,INDEX(aflac!$B$2:$E$37,MATCH($AE56,aflac!$A$2:$A$37,0),IF(LOWER(TRIM($F56))="male",IF(LOWER(TRIM($K56))="yes",2,1),IF(LOWER(TRIM($K56))="yes",4,3))),_xlpm.coverage,VALUE(SUBSTITUTE(SUBSTITUTE($S56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6" s="80">
        <f t="array" ref="AG56">IFERROR(_xlfn.LET(_xlpm.rate,INDEX('aflac-modified'!$B$2:$C$32,MATCH($AE56,'aflac-modified'!$A$2:$A$32,0),IF(LOWER(TRIM($F56))="male",1,2)),_xlpm.coverage,VALUE(SUBSTITUTE(SUBSTITUTE($S56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6" s="80">
        <f t="array" ref="AH56">IFERROR(_xlfn.LET(_xlpm.rate,INDEX(SBLI!$B$2:$E$37,MATCH($AE56,SBLI!$A$2:$A$37,0),IF(LOWER(TRIM($F56))="male",IF(LOWER(TRIM($K56))="yes",2,1),IF(LOWER(TRIM($K56))="yes",4,3))),_xlpm.coverage,VALUE(SUBSTITUTE(SUBSTITUTE($S56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6" s="80">
        <f t="array" ref="AI56">IFERROR(_xlfn.LET(_xlpm.rate,INDEX('SBLI-Modified'!$B$2:$E$27,MATCH($AE56,'SBLI-Modified'!$A$2:$A$27,0),IF(LOWER(TRIM($F56))="male",IF(LOWER(TRIM($K56))="yes",2,1),IF(LOWER(TRIM($K56))="yes",4,3))),_xlpm.coverage,VALUE(SUBSTITUTE(SUBSTITUTE($S56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6" s="80">
        <f t="array" ref="AJ56">IFERROR(_xlfn.LET(_xlpm.rate,INDEX(CICA!$B$2:$C$42,MATCH($AE56,CICA!$A$2:$A$42,0),IF(LOWER(TRIM($F56))="male",1,2)),_xlpm.coverage,VALUE(SUBSTITUTE(SUBSTITUTE($S56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6" s="80">
        <f t="array" ref="AK56">IFERROR(_xlfn.LET(_xlpm.rate,INDEX('CICA-GI'!$B$2:$C$47,MATCH($AE56,'CICA-GI'!$A$2:$A$47,0),IF(LOWER(TRIM($F56))="male",1,2)),_xlpm.coverage,VALUE(SUBSTITUTE(SUBSTITUTE($S56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6" s="80">
        <f t="array" ref="AL56">IFERROR(_xlfn.LET(_xlpm.rate,INDEX(gtl!$B$2:$C$52,MATCH($AE56,gtl!$A$2:$A$52,0),IF(LOWER(TRIM($F56))="male",1,2)),_xlpm.coverage,VALUE(SUBSTITUTE(SUBSTITUTE($S56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6" s="80">
        <f t="array" ref="AM56">IFERROR(_xlfn.LET(_xlpm.rate,INDEX(TransAmerica!$B$2:$E$69,MATCH($AE56,TransAmerica!$A$2:$A$69,0),IF(LOWER(TRIM($F56))="male",IF(LOWER(TRIM($K56))="yes",2,1),IF(LOWER(TRIM($K56))="yes",4,3))),_xlpm.coverage,VALUE(SUBSTITUTE(SUBSTITUTE($S56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6" s="80">
        <f t="array" ref="AN56">IFERROR(_xlfn.LET(_xlpm.rate,INDEX('TransAmerica Graded'!$B$2:$E$64,MATCH($AE56,'TransAmerica Graded'!$A$2:$A$64,0),IF(LOWER(TRIM($F56))="male",IF(LOWER(TRIM($K56))="yes",2,1),IF(LOWER(TRIM($K56))="yes",4,3))),_xlpm.coverage,VALUE(SUBSTITUTE(SUBSTITUTE($S56,"$",""),",","")),_xlpm.base,_xlpm.rate*(_xlpm.coverage/1000),_xlpm.fee,_xlfn.XLOOKUP("TransAmerica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6" s="80">
        <f t="array" ref="AO56">IFERROR(_xlfn.LET(_xlpm.rate,INDEX(Corebridge!$B$2:$C$32,MATCH($AE56,Corebridge!$A$2:$A$32,0),IF(LOWER(TRIM($F56))="male",1,2)),_xlpm.coverage,VALUE(SUBSTITUTE(SUBSTITUTE($S56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6" s="80">
        <f t="array" ref="AP56">IFERROR(_xlfn.LET(_xlpm.rate,INDEX(amam!$B$2:$E$37,MATCH($AE56,amam!$A$2:$A$37,0),IF(LOWER(TRIM($F56))="male",IF(LOWER(TRIM($K56))="yes",2,1),IF(LOWER(TRIM($K56))="yes",4,3))),_xlpm.coverage,VALUE(SUBSTITUTE(SUBSTITUTE($S56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6" s="80">
        <f t="array" ref="AQ56">IFERROR(_xlfn.LET(_xlpm.rate,INDEX('amam-graded'!$B$2:$E$37,MATCH($AE56,'amam-graded'!$A$2:$A$37,0),IF(LOWER(TRIM($F56))="male",IF(LOWER(TRIM($K56))="yes",2,1),IF(LOWER(TRIM($K56))="yes",4,3))),_xlpm.coverage,VALUE(SUBSTITUTE(SUBSTITUTE($S56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6" s="80">
        <f t="array" ref="AR56">IFERROR(_xlfn.LET(_xlpm.rate,INDEX('amam-return-or-premium'!$B$2:$E$37,MATCH($AE56,'amam-return-or-premium'!$A$2:$A$37,0),IF(LOWER(TRIM($F56))="male",IF(LOWER(TRIM($K56))="yes",2,1),IF(LOWER(TRIM($K56))="yes",4,3))),_xlpm.coverage,VALUE(SUBSTITUTE(SUBSTITUTE($S56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6" s="80">
        <f t="array" ref="AS56">IFERROR(_xlfn.LET(_xlpm.rate,INDEX(AHL!$B$2:$E$37,MATCH($AE56,AHL!$A$2:$A$37,0),IF(LOWER(TRIM($F56))="male",IF(LOWER(TRIM($K56))="yes",2,1),IF(LOWER(TRIM($K56))="yes",4,3))),_xlpm.coverage,VALUE(SUBSTITUTE(SUBSTITUTE($S56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6" s="80">
        <f t="array" ref="AT56">IFERROR(_xlfn.LET(_xlpm.rate,INDEX('AHL-Graded'!$B$2:$E$32,MATCH($AE56,'AHL-Graded'!$A$2:$A$32,0),IF(LOWER(TRIM($F56))="male",IF(LOWER(TRIM($K56))="yes",2,1),IF(LOWER(TRIM($K56))="yes",4,3))),_xlpm.coverage,VALUE(SUBSTITUTE(SUBSTITUTE($S56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6" s="80">
        <f t="array" ref="AU56">IFERROR(_xlfn.LET(_xlpm.rate,INDEX('Royal Neighbors'!$B$2:$E$37,MATCH($AE56,'Royal Neighbors'!$A$2:$A$37,0),IF(LOWER(TRIM($F56))="male",IF(LOWER(TRIM($K56))="yes",2,1),IF(LOWER(TRIM($K56))="yes",4,3))),_xlpm.coverage,VALUE(SUBSTITUTE(SUBSTITUTE($S56,"$",""),",","")),_xlpm.base,_xlpm.rate*(_xlpm.coverage/1000),_xlpm.fee,_xlfn.XLOOKUP("Royal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6" s="80">
        <f t="array" ref="AV56">IFERROR(_xlfn.LET(_xlpm.rate,INDEX('Royal Neighbors-Graded'!$B$2:$E$37,MATCH($AE56,'Royal Neighbors-Graded'!$A$2:$A$37,0),IF(LOWER(TRIM($F56))="male",IF(LOWER(TRIM($K56))="yes",2,1),IF(LOWER(TRIM($K56))="yes",4,3))),_xlpm.coverage,VALUE(SUBSTITUTE(SUBSTITUTE($S56,"$",""),",","")),_xlpm.base,_xlpm.rate*(_xlpm.coverage/1000),_xlpm.fee,_xlfn.XLOOKUP("Royal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6" s="80">
        <f t="array" ref="AW56">IFERROR(_xlfn.LET(_xlpm.rate,INDEX('Gerber-GI'!$B$2:$C$32,MATCH($AE56,'Gerber-GI'!$A$2:$A$32,0),IF(LOWER(TRIM($F56))="male",1,2)),_xlpm.coverage,VALUE(SUBSTITUTE(SUBSTITUTE($S56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6" s="80">
        <f t="array" ref="AX56">IFERROR(_xlfn.LET(_xlpm.rate,INDEX('Mutual of Omaha'!$B$2:$E$42,MATCH($AE56,'Mutual of Omaha'!$A$2:$A$42,0),IF(LOWER(TRIM($F56))="male",IF(LOWER(TRIM($K56))="yes",2,1),IF(LOWER(TRIM($K56))="yes",4,3))),_xlpm.coverage,VALUE(SUBSTITUTE(SUBSTITUTE($S56,"$",""),",","")),_xlpm.base,_xlpm.rate*(_xlpm.coverage/1000),_xlpm.fee,_xlfn.XLOOKUP("Mutal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6" s="80">
        <f t="array" ref="AY56">IFERROR(_xlfn.LET(_xlpm.rate,INDEX('Mutual of Omaha-Graded'!$B$2:$E$37,MATCH($AE56,'Mutual of Omaha-Graded'!$A$2:$A$37,0),IF(LOWER(TRIM($F56))="male",IF(LOWER(TRIM($K56))="yes",2,1),IF(LOWER(TRIM($K56))="yes",4,3))),_xlpm.coverage,VALUE(SUBSTITUTE(SUBSTITUTE($S56,"$",""),",","")),_xlpm.base,_xlpm.rate*(_xlpm.coverage/1000),_xlpm.fee,_xlfn.XLOOKUP("Mutual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6" s="80">
        <f>AP56</f>
        <v/>
      </c>
      <c r="BA56" s="80">
        <f>IFERROR(IF(AND(AP56&gt;0,AP56&lt;VALUE(SUBSTITUTE(SUBSTITUTE($T56,"$",""),",",""))),VALUE(SUBSTITUTE(SUBSTITUTE($T56,"$",""),",",""))-AP56,""),"")</f>
        <v/>
      </c>
      <c r="BB56" s="80">
        <f>AL56</f>
        <v/>
      </c>
      <c r="BC56" s="80">
        <f>IFERROR(IF(AND(AL56&gt;0,AL56&lt;VALUE(SUBSTITUTE(SUBSTITUTE($T56,"$",""),",",""))),VALUE(SUBSTITUTE(SUBSTITUTE($T56,"$",""),",",""))-AL56,""),"")</f>
        <v/>
      </c>
      <c r="BD56">
        <f t="array" ref="BD56">IFERROR(_xlfn.LET(_xlpm.current,VALUE(SUBSTITUTE(SUBSTITUTE($T56,"$",""),",","")),_xlpm.quotes,AF56:AY56,_xlpm.lowest,_xlfn.MINIFS(_xlpm.quotes,_xlpm.quotes,"&lt;"&amp;_xlpm.current,_xlpm.quotes,"&gt;0"),IF(_xlpm.lowest="","",SUBSTITUTE(INDEX($AF$1:$AY$1,1,MATCH(_xlpm.lowest,_xlpm.quotes,0))," Monthly Quote",""))),"")</f>
        <v/>
      </c>
      <c r="BE56" s="80">
        <f t="array" ref="BE56">IFERROR(_xlfn.LET(_xlpm.current,VALUE(SUBSTITUTE(SUBSTITUTE($T56,"$",""),",","")),_xlpm.quotes,AF56:AY56,_xlpm.lowest,_xlfn.MINIFS(_xlpm.quotes,_xlpm.quotes,"&lt;"&amp;_xlpm.current,_xlpm.quotes,"&gt;0"),IF(_xlpm.lowest="","",_xlpm.current-_xlpm.lowest)),"")</f>
        <v/>
      </c>
    </row>
    <row r="57">
      <c r="A57" s="63" t="inlineStr">
        <is>
          <t>Joanne L</t>
        </is>
      </c>
      <c r="B57" s="63" t="inlineStr">
        <is>
          <t>Rickards</t>
        </is>
      </c>
      <c r="C57" s="64" t="n">
        <v>8505705321</v>
      </c>
      <c r="D57" s="64" t="n">
        <v>70</v>
      </c>
      <c r="E57" s="65" t="n">
        <v>20139</v>
      </c>
      <c r="F57" s="63" t="inlineStr">
        <is>
          <t>Female</t>
        </is>
      </c>
      <c r="G57" s="63" t="inlineStr">
        <is>
          <t>317 Tallahassee St , Eastpoint, , FL , 32328</t>
        </is>
      </c>
      <c r="H57" s="63" t="inlineStr">
        <is>
          <t>FL</t>
        </is>
      </c>
      <c r="I57" s="64" t="n">
        <v>5.2</v>
      </c>
      <c r="J57" s="64" t="n">
        <v>112</v>
      </c>
      <c r="K57" s="63" t="inlineStr">
        <is>
          <t>Yes</t>
        </is>
      </c>
      <c r="L57" s="63" t="n"/>
      <c r="M57" s="63" t="inlineStr">
        <is>
          <t>Burial</t>
        </is>
      </c>
      <c r="N57" s="63" t="inlineStr">
        <is>
          <t>Johnny Rickards - 01 13 1973</t>
        </is>
      </c>
      <c r="O57" s="63" t="inlineStr">
        <is>
          <t>Son</t>
        </is>
      </c>
      <c r="P57" s="63" t="inlineStr">
        <is>
          <t>Bruce Rickards - 4 01 1975</t>
        </is>
      </c>
      <c r="Q57" s="63" t="inlineStr">
        <is>
          <t>Son</t>
        </is>
      </c>
      <c r="R57" s="63" t="inlineStr">
        <is>
          <t>AIG</t>
        </is>
      </c>
      <c r="S57" s="66" t="n">
        <v>5000</v>
      </c>
      <c r="T57" s="64" t="n">
        <v>44.74</v>
      </c>
      <c r="U57" s="65" t="n">
        <v>46001</v>
      </c>
      <c r="V57" s="65" t="n">
        <v>46029</v>
      </c>
      <c r="W57" s="64" t="n">
        <v>262193909</v>
      </c>
      <c r="X57" s="63" t="inlineStr">
        <is>
          <t>N/A</t>
        </is>
      </c>
      <c r="Y57" s="63" t="inlineStr">
        <is>
          <t>CENTENNIAL BANK</t>
        </is>
      </c>
      <c r="Z57" s="64" t="n">
        <v>63114700</v>
      </c>
      <c r="AA57" s="64" t="n">
        <v>21697606</v>
      </c>
      <c r="AB57" s="63" t="inlineStr">
        <is>
          <t>GI</t>
        </is>
      </c>
      <c r="AC57" s="63" t="inlineStr">
        <is>
          <t>GI</t>
        </is>
      </c>
      <c r="AD57" s="63" t="inlineStr">
        <is>
          <t>N/A</t>
        </is>
      </c>
      <c r="AE57" s="64" t="n">
        <v>71</v>
      </c>
      <c r="AF57" s="80">
        <f t="array" ref="AF57">IFERROR(_xlfn.LET(_xlpm.rate,INDEX(aflac!$B$2:$E$37,MATCH($AE57,aflac!$A$2:$A$37,0),IF(LOWER(TRIM($F57))="male",IF(LOWER(TRIM($K57))="yes",2,1),IF(LOWER(TRIM($K57))="yes",4,3))),_xlpm.coverage,VALUE(SUBSTITUTE(SUBSTITUTE($S57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7" s="80">
        <f t="array" ref="AG57">IFERROR(_xlfn.LET(_xlpm.rate,INDEX('aflac-modified'!$B$2:$C$32,MATCH($AE57,'aflac-modified'!$A$2:$A$32,0),IF(LOWER(TRIM($F57))="male",1,2)),_xlpm.coverage,VALUE(SUBSTITUTE(SUBSTITUTE($S57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7" s="80">
        <f t="array" ref="AH57">IFERROR(_xlfn.LET(_xlpm.rate,INDEX(SBLI!$B$2:$E$37,MATCH($AE57,SBLI!$A$2:$A$37,0),IF(LOWER(TRIM($F57))="male",IF(LOWER(TRIM($K57))="yes",2,1),IF(LOWER(TRIM($K57))="yes",4,3))),_xlpm.coverage,VALUE(SUBSTITUTE(SUBSTITUTE($S57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7" s="80">
        <f t="array" ref="AI57">IFERROR(_xlfn.LET(_xlpm.rate,INDEX('SBLI-Modified'!$B$2:$E$27,MATCH($AE57,'SBLI-Modified'!$A$2:$A$27,0),IF(LOWER(TRIM($F57))="male",IF(LOWER(TRIM($K57))="yes",2,1),IF(LOWER(TRIM($K57))="yes",4,3))),_xlpm.coverage,VALUE(SUBSTITUTE(SUBSTITUTE($S57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7" s="80">
        <f t="array" ref="AJ57">IFERROR(_xlfn.LET(_xlpm.rate,INDEX(CICA!$B$2:$C$42,MATCH($AE57,CICA!$A$2:$A$42,0),IF(LOWER(TRIM($F57))="male",1,2)),_xlpm.coverage,VALUE(SUBSTITUTE(SUBSTITUTE($S57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7" s="80">
        <f t="array" ref="AK57">IFERROR(_xlfn.LET(_xlpm.rate,INDEX('CICA-GI'!$B$2:$C$47,MATCH($AE57,'CICA-GI'!$A$2:$A$47,0),IF(LOWER(TRIM($F57))="male",1,2)),_xlpm.coverage,VALUE(SUBSTITUTE(SUBSTITUTE($S57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7" s="80">
        <f t="array" ref="AL57">IFERROR(_xlfn.LET(_xlpm.rate,INDEX(gtl!$B$2:$C$52,MATCH($AE57,gtl!$A$2:$A$52,0),IF(LOWER(TRIM($F57))="male",1,2)),_xlpm.coverage,VALUE(SUBSTITUTE(SUBSTITUTE($S57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7" s="80">
        <f t="array" ref="AM57">IFERROR(_xlfn.LET(_xlpm.rate,INDEX(TransAmerica!$B$2:$E$69,MATCH($AE57,TransAmerica!$A$2:$A$69,0),IF(LOWER(TRIM($F57))="male",IF(LOWER(TRIM($K57))="yes",2,1),IF(LOWER(TRIM($K57))="yes",4,3))),_xlpm.coverage,VALUE(SUBSTITUTE(SUBSTITUTE($S57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7" s="80">
        <f t="array" ref="AN57">IFERROR(_xlfn.LET(_xlpm.rate,INDEX('TransAmerica Graded'!$B$2:$E$64,MATCH($AE57,'TransAmerica Graded'!$A$2:$A$64,0),IF(LOWER(TRIM($F57))="male",IF(LOWER(TRIM($K57))="yes",2,1),IF(LOWER(TRIM($K57))="yes",4,3))),_xlpm.coverage,VALUE(SUBSTITUTE(SUBSTITUTE($S57,"$",""),",","")),_xlpm.base,_xlpm.rate*(_xlpm.coverage/1000),_xlpm.fee,_xlfn.XLOOKUP("TransAmerica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7" s="80">
        <f t="array" ref="AO57">IFERROR(_xlfn.LET(_xlpm.rate,INDEX(Corebridge!$B$2:$C$32,MATCH($AE57,Corebridge!$A$2:$A$32,0),IF(LOWER(TRIM($F57))="male",1,2)),_xlpm.coverage,VALUE(SUBSTITUTE(SUBSTITUTE($S57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7" s="80">
        <f t="array" ref="AP57">IFERROR(_xlfn.LET(_xlpm.rate,INDEX(amam!$B$2:$E$37,MATCH($AE57,amam!$A$2:$A$37,0),IF(LOWER(TRIM($F57))="male",IF(LOWER(TRIM($K57))="yes",2,1),IF(LOWER(TRIM($K57))="yes",4,3))),_xlpm.coverage,VALUE(SUBSTITUTE(SUBSTITUTE($S57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7" s="80">
        <f t="array" ref="AQ57">IFERROR(_xlfn.LET(_xlpm.rate,INDEX('amam-graded'!$B$2:$E$37,MATCH($AE57,'amam-graded'!$A$2:$A$37,0),IF(LOWER(TRIM($F57))="male",IF(LOWER(TRIM($K57))="yes",2,1),IF(LOWER(TRIM($K57))="yes",4,3))),_xlpm.coverage,VALUE(SUBSTITUTE(SUBSTITUTE($S57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7" s="80">
        <f t="array" ref="AR57">IFERROR(_xlfn.LET(_xlpm.rate,INDEX('amam-return-or-premium'!$B$2:$E$37,MATCH($AE57,'amam-return-or-premium'!$A$2:$A$37,0),IF(LOWER(TRIM($F57))="male",IF(LOWER(TRIM($K57))="yes",2,1),IF(LOWER(TRIM($K57))="yes",4,3))),_xlpm.coverage,VALUE(SUBSTITUTE(SUBSTITUTE($S57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7" s="80">
        <f t="array" ref="AS57">IFERROR(_xlfn.LET(_xlpm.rate,INDEX(AHL!$B$2:$E$37,MATCH($AE57,AHL!$A$2:$A$37,0),IF(LOWER(TRIM($F57))="male",IF(LOWER(TRIM($K57))="yes",2,1),IF(LOWER(TRIM($K57))="yes",4,3))),_xlpm.coverage,VALUE(SUBSTITUTE(SUBSTITUTE($S57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7" s="80">
        <f t="array" ref="AT57">IFERROR(_xlfn.LET(_xlpm.rate,INDEX('AHL-Graded'!$B$2:$E$32,MATCH($AE57,'AHL-Graded'!$A$2:$A$32,0),IF(LOWER(TRIM($F57))="male",IF(LOWER(TRIM($K57))="yes",2,1),IF(LOWER(TRIM($K57))="yes",4,3))),_xlpm.coverage,VALUE(SUBSTITUTE(SUBSTITUTE($S57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7" s="80">
        <f t="array" ref="AU57">IFERROR(_xlfn.LET(_xlpm.rate,INDEX('Royal Neighbors'!$B$2:$E$37,MATCH($AE57,'Royal Neighbors'!$A$2:$A$37,0),IF(LOWER(TRIM($F57))="male",IF(LOWER(TRIM($K57))="yes",2,1),IF(LOWER(TRIM($K57))="yes",4,3))),_xlpm.coverage,VALUE(SUBSTITUTE(SUBSTITUTE($S57,"$",""),",","")),_xlpm.base,_xlpm.rate*(_xlpm.coverage/1000),_xlpm.fee,_xlfn.XLOOKUP("Royal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7" s="80">
        <f t="array" ref="AV57">IFERROR(_xlfn.LET(_xlpm.rate,INDEX('Royal Neighbors-Graded'!$B$2:$E$37,MATCH($AE57,'Royal Neighbors-Graded'!$A$2:$A$37,0),IF(LOWER(TRIM($F57))="male",IF(LOWER(TRIM($K57))="yes",2,1),IF(LOWER(TRIM($K57))="yes",4,3))),_xlpm.coverage,VALUE(SUBSTITUTE(SUBSTITUTE($S57,"$",""),",","")),_xlpm.base,_xlpm.rate*(_xlpm.coverage/1000),_xlpm.fee,_xlfn.XLOOKUP("Royal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7" s="80">
        <f t="array" ref="AW57">IFERROR(_xlfn.LET(_xlpm.rate,INDEX('Gerber-GI'!$B$2:$C$32,MATCH($AE57,'Gerber-GI'!$A$2:$A$32,0),IF(LOWER(TRIM($F57))="male",1,2)),_xlpm.coverage,VALUE(SUBSTITUTE(SUBSTITUTE($S57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7" s="80">
        <f t="array" ref="AX57">IFERROR(_xlfn.LET(_xlpm.rate,INDEX('Mutual of Omaha'!$B$2:$E$42,MATCH($AE57,'Mutual of Omaha'!$A$2:$A$42,0),IF(LOWER(TRIM($F57))="male",IF(LOWER(TRIM($K57))="yes",2,1),IF(LOWER(TRIM($K57))="yes",4,3))),_xlpm.coverage,VALUE(SUBSTITUTE(SUBSTITUTE($S57,"$",""),",","")),_xlpm.base,_xlpm.rate*(_xlpm.coverage/1000),_xlpm.fee,_xlfn.XLOOKUP("Mutal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7" s="80">
        <f t="array" ref="AY57">IFERROR(_xlfn.LET(_xlpm.rate,INDEX('Mutual of Omaha-Graded'!$B$2:$E$37,MATCH($AE57,'Mutual of Omaha-Graded'!$A$2:$A$37,0),IF(LOWER(TRIM($F57))="male",IF(LOWER(TRIM($K57))="yes",2,1),IF(LOWER(TRIM($K57))="yes",4,3))),_xlpm.coverage,VALUE(SUBSTITUTE(SUBSTITUTE($S57,"$",""),",","")),_xlpm.base,_xlpm.rate*(_xlpm.coverage/1000),_xlpm.fee,_xlfn.XLOOKUP("Mutual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7" s="80">
        <f>AP57</f>
        <v/>
      </c>
      <c r="BA57" s="80">
        <f>IFERROR(IF(AND(AP57&gt;0,AP57&lt;VALUE(SUBSTITUTE(SUBSTITUTE($T57,"$",""),",",""))),VALUE(SUBSTITUTE(SUBSTITUTE($T57,"$",""),",",""))-AP57,""),"")</f>
        <v/>
      </c>
      <c r="BB57" s="80">
        <f>AL57</f>
        <v/>
      </c>
      <c r="BC57" s="80">
        <f>IFERROR(IF(AND(AL57&gt;0,AL57&lt;VALUE(SUBSTITUTE(SUBSTITUTE($T57,"$",""),",",""))),VALUE(SUBSTITUTE(SUBSTITUTE($T57,"$",""),",",""))-AL57,""),"")</f>
        <v/>
      </c>
      <c r="BD57">
        <f t="array" ref="BD57">IFERROR(_xlfn.LET(_xlpm.current,VALUE(SUBSTITUTE(SUBSTITUTE($T57,"$",""),",","")),_xlpm.quotes,AF57:AY57,_xlpm.lowest,_xlfn.MINIFS(_xlpm.quotes,_xlpm.quotes,"&lt;"&amp;_xlpm.current,_xlpm.quotes,"&gt;0"),IF(_xlpm.lowest="","",SUBSTITUTE(INDEX($AF$1:$AY$1,1,MATCH(_xlpm.lowest,_xlpm.quotes,0))," Monthly Quote",""))),"")</f>
        <v/>
      </c>
      <c r="BE57" s="80">
        <f t="array" ref="BE57">IFERROR(_xlfn.LET(_xlpm.current,VALUE(SUBSTITUTE(SUBSTITUTE($T57,"$",""),",","")),_xlpm.quotes,AF57:AY57,_xlpm.lowest,_xlfn.MINIFS(_xlpm.quotes,_xlpm.quotes,"&lt;"&amp;_xlpm.current,_xlpm.quotes,"&gt;0"),IF(_xlpm.lowest="","",_xlpm.current-_xlpm.lowest)),"")</f>
        <v/>
      </c>
    </row>
    <row r="58">
      <c r="A58" s="67" t="inlineStr">
        <is>
          <t>Randall L</t>
        </is>
      </c>
      <c r="B58" s="67" t="inlineStr">
        <is>
          <t>Vanausdoll</t>
        </is>
      </c>
      <c r="C58" s="68" t="n">
        <v>4193775423</v>
      </c>
      <c r="D58" s="68" t="n">
        <v>65</v>
      </c>
      <c r="E58" s="69" t="n">
        <v>22024</v>
      </c>
      <c r="F58" s="67" t="inlineStr">
        <is>
          <t>Male</t>
        </is>
      </c>
      <c r="G58" s="67" t="inlineStr">
        <is>
          <t>1029 Bowlus Ave , Toledo , OH , 43607</t>
        </is>
      </c>
      <c r="H58" s="67" t="inlineStr">
        <is>
          <t>IL</t>
        </is>
      </c>
      <c r="I58" s="68" t="n">
        <v>6</v>
      </c>
      <c r="J58" s="68" t="n">
        <v>185</v>
      </c>
      <c r="K58" s="67" t="inlineStr">
        <is>
          <t>No</t>
        </is>
      </c>
      <c r="L58" s="67" t="n"/>
      <c r="M58" s="67" t="inlineStr">
        <is>
          <t>Burial</t>
        </is>
      </c>
      <c r="N58" s="67" t="inlineStr">
        <is>
          <t>Jessica Renee Quinn ( 1987 )</t>
        </is>
      </c>
      <c r="O58" s="67" t="inlineStr">
        <is>
          <t>Daughter</t>
        </is>
      </c>
      <c r="P58" s="67" t="n"/>
      <c r="Q58" s="67" t="n"/>
      <c r="R58" s="67" t="inlineStr">
        <is>
          <t>AIG</t>
        </is>
      </c>
      <c r="S58" s="70" t="n">
        <v>5000</v>
      </c>
      <c r="T58" s="68" t="n">
        <v>50.42</v>
      </c>
      <c r="U58" s="69" t="n">
        <v>45994</v>
      </c>
      <c r="V58" s="69" t="n">
        <v>46025</v>
      </c>
      <c r="W58" s="68" t="n">
        <v>527413349</v>
      </c>
      <c r="X58" s="67" t="inlineStr">
        <is>
          <t>N/A</t>
        </is>
      </c>
      <c r="Y58" s="67" t="inlineStr">
        <is>
          <t>Fifth Thid Bank</t>
        </is>
      </c>
      <c r="Z58" s="68" t="n">
        <v>42000314</v>
      </c>
      <c r="AA58" s="68" t="n">
        <v>7341553043</v>
      </c>
      <c r="AB58" s="67" t="inlineStr">
        <is>
          <t>High Cholesterol High Blood Pressure Diabetes Medications Metformin Gabapentin Lisinopril Atorvastatin</t>
        </is>
      </c>
      <c r="AC58" s="67" t="inlineStr">
        <is>
          <t>High Cholesterol High Blood Pressure Diabetes Medications Metformin Gabapentin Lisinopril Atorvastatin</t>
        </is>
      </c>
      <c r="AD58" s="67" t="inlineStr">
        <is>
          <t>Vaughn Hoblet</t>
        </is>
      </c>
      <c r="AE58" s="68" t="n">
        <v>66</v>
      </c>
      <c r="AF58" s="80">
        <f t="array" ref="AF58">IFERROR(_xlfn.LET(_xlpm.rate,INDEX(aflac!$B$2:$E$37,MATCH($AE58,aflac!$A$2:$A$37,0),IF(LOWER(TRIM($F58))="male",IF(LOWER(TRIM($K58))="yes",2,1),IF(LOWER(TRIM($K58))="yes",4,3))),_xlpm.coverage,VALUE(SUBSTITUTE(SUBSTITUTE($S58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8" s="80">
        <f t="array" ref="AG58">IFERROR(_xlfn.LET(_xlpm.rate,INDEX('aflac-modified'!$B$2:$C$32,MATCH($AE58,'aflac-modified'!$A$2:$A$32,0),IF(LOWER(TRIM($F58))="male",1,2)),_xlpm.coverage,VALUE(SUBSTITUTE(SUBSTITUTE($S58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8" s="80">
        <f t="array" ref="AH58">IFERROR(_xlfn.LET(_xlpm.rate,INDEX(SBLI!$B$2:$E$37,MATCH($AE58,SBLI!$A$2:$A$37,0),IF(LOWER(TRIM($F58))="male",IF(LOWER(TRIM($K58))="yes",2,1),IF(LOWER(TRIM($K58))="yes",4,3))),_xlpm.coverage,VALUE(SUBSTITUTE(SUBSTITUTE($S58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8" s="80">
        <f t="array" ref="AI58">IFERROR(_xlfn.LET(_xlpm.rate,INDEX('SBLI-Modified'!$B$2:$E$27,MATCH($AE58,'SBLI-Modified'!$A$2:$A$27,0),IF(LOWER(TRIM($F58))="male",IF(LOWER(TRIM($K58))="yes",2,1),IF(LOWER(TRIM($K58))="yes",4,3))),_xlpm.coverage,VALUE(SUBSTITUTE(SUBSTITUTE($S58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8" s="80">
        <f t="array" ref="AJ58">IFERROR(_xlfn.LET(_xlpm.rate,INDEX(CICA!$B$2:$C$42,MATCH($AE58,CICA!$A$2:$A$42,0),IF(LOWER(TRIM($F58))="male",1,2)),_xlpm.coverage,VALUE(SUBSTITUTE(SUBSTITUTE($S58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8" s="80">
        <f t="array" ref="AK58">IFERROR(_xlfn.LET(_xlpm.rate,INDEX('CICA-GI'!$B$2:$C$47,MATCH($AE58,'CICA-GI'!$A$2:$A$47,0),IF(LOWER(TRIM($F58))="male",1,2)),_xlpm.coverage,VALUE(SUBSTITUTE(SUBSTITUTE($S58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8" s="80">
        <f t="array" ref="AL58">IFERROR(_xlfn.LET(_xlpm.rate,INDEX(gtl!$B$2:$C$52,MATCH($AE58,gtl!$A$2:$A$52,0),IF(LOWER(TRIM($F58))="male",1,2)),_xlpm.coverage,VALUE(SUBSTITUTE(SUBSTITUTE($S58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8" s="80">
        <f t="array" ref="AM58">IFERROR(_xlfn.LET(_xlpm.rate,INDEX(TransAmerica!$B$2:$E$69,MATCH($AE58,TransAmerica!$A$2:$A$69,0),IF(LOWER(TRIM($F58))="male",IF(LOWER(TRIM($K58))="yes",2,1),IF(LOWER(TRIM($K58))="yes",4,3))),_xlpm.coverage,VALUE(SUBSTITUTE(SUBSTITUTE($S58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8" s="80">
        <f t="array" ref="AN58">IFERROR(_xlfn.LET(_xlpm.rate,INDEX('TransAmerica Graded'!$B$2:$E$64,MATCH($AE58,'TransAmerica Graded'!$A$2:$A$64,0),IF(LOWER(TRIM($F58))="male",IF(LOWER(TRIM($K58))="yes",2,1),IF(LOWER(TRIM($K58))="yes",4,3))),_xlpm.coverage,VALUE(SUBSTITUTE(SUBSTITUTE($S58,"$",""),",","")),_xlpm.base,_xlpm.rate*(_xlpm.coverage/1000),_xlpm.fee,_xlfn.XLOOKUP("TransAmerica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8" s="80">
        <f t="array" ref="AO58">IFERROR(_xlfn.LET(_xlpm.rate,INDEX(Corebridge!$B$2:$C$32,MATCH($AE58,Corebridge!$A$2:$A$32,0),IF(LOWER(TRIM($F58))="male",1,2)),_xlpm.coverage,VALUE(SUBSTITUTE(SUBSTITUTE($S58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8" s="80">
        <f t="array" ref="AP58">IFERROR(_xlfn.LET(_xlpm.rate,INDEX(amam!$B$2:$E$37,MATCH($AE58,amam!$A$2:$A$37,0),IF(LOWER(TRIM($F58))="male",IF(LOWER(TRIM($K58))="yes",2,1),IF(LOWER(TRIM($K58))="yes",4,3))),_xlpm.coverage,VALUE(SUBSTITUTE(SUBSTITUTE($S58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8" s="80">
        <f t="array" ref="AQ58">IFERROR(_xlfn.LET(_xlpm.rate,INDEX('amam-graded'!$B$2:$E$37,MATCH($AE58,'amam-graded'!$A$2:$A$37,0),IF(LOWER(TRIM($F58))="male",IF(LOWER(TRIM($K58))="yes",2,1),IF(LOWER(TRIM($K58))="yes",4,3))),_xlpm.coverage,VALUE(SUBSTITUTE(SUBSTITUTE($S58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8" s="80">
        <f t="array" ref="AR58">IFERROR(_xlfn.LET(_xlpm.rate,INDEX('amam-return-or-premium'!$B$2:$E$37,MATCH($AE58,'amam-return-or-premium'!$A$2:$A$37,0),IF(LOWER(TRIM($F58))="male",IF(LOWER(TRIM($K58))="yes",2,1),IF(LOWER(TRIM($K58))="yes",4,3))),_xlpm.coverage,VALUE(SUBSTITUTE(SUBSTITUTE($S58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8" s="80">
        <f t="array" ref="AS58">IFERROR(_xlfn.LET(_xlpm.rate,INDEX(AHL!$B$2:$E$37,MATCH($AE58,AHL!$A$2:$A$37,0),IF(LOWER(TRIM($F58))="male",IF(LOWER(TRIM($K58))="yes",2,1),IF(LOWER(TRIM($K58))="yes",4,3))),_xlpm.coverage,VALUE(SUBSTITUTE(SUBSTITUTE($S58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8" s="80">
        <f t="array" ref="AT58">IFERROR(_xlfn.LET(_xlpm.rate,INDEX('AHL-Graded'!$B$2:$E$32,MATCH($AE58,'AHL-Graded'!$A$2:$A$32,0),IF(LOWER(TRIM($F58))="male",IF(LOWER(TRIM($K58))="yes",2,1),IF(LOWER(TRIM($K58))="yes",4,3))),_xlpm.coverage,VALUE(SUBSTITUTE(SUBSTITUTE($S58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8" s="80">
        <f t="array" ref="AU58">IFERROR(_xlfn.LET(_xlpm.rate,INDEX('Royal Neighbors'!$B$2:$E$37,MATCH($AE58,'Royal Neighbors'!$A$2:$A$37,0),IF(LOWER(TRIM($F58))="male",IF(LOWER(TRIM($K58))="yes",2,1),IF(LOWER(TRIM($K58))="yes",4,3))),_xlpm.coverage,VALUE(SUBSTITUTE(SUBSTITUTE($S58,"$",""),",","")),_xlpm.base,_xlpm.rate*(_xlpm.coverage/1000),_xlpm.fee,_xlfn.XLOOKUP("Royal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8" s="80">
        <f t="array" ref="AV58">IFERROR(_xlfn.LET(_xlpm.rate,INDEX('Royal Neighbors-Graded'!$B$2:$E$37,MATCH($AE58,'Royal Neighbors-Graded'!$A$2:$A$37,0),IF(LOWER(TRIM($F58))="male",IF(LOWER(TRIM($K58))="yes",2,1),IF(LOWER(TRIM($K58))="yes",4,3))),_xlpm.coverage,VALUE(SUBSTITUTE(SUBSTITUTE($S58,"$",""),",","")),_xlpm.base,_xlpm.rate*(_xlpm.coverage/1000),_xlpm.fee,_xlfn.XLOOKUP("Royal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8" s="80">
        <f t="array" ref="AW58">IFERROR(_xlfn.LET(_xlpm.rate,INDEX('Gerber-GI'!$B$2:$C$32,MATCH($AE58,'Gerber-GI'!$A$2:$A$32,0),IF(LOWER(TRIM($F58))="male",1,2)),_xlpm.coverage,VALUE(SUBSTITUTE(SUBSTITUTE($S58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8" s="80">
        <f t="array" ref="AX58">IFERROR(_xlfn.LET(_xlpm.rate,INDEX('Mutual of Omaha'!$B$2:$E$42,MATCH($AE58,'Mutual of Omaha'!$A$2:$A$42,0),IF(LOWER(TRIM($F58))="male",IF(LOWER(TRIM($K58))="yes",2,1),IF(LOWER(TRIM($K58))="yes",4,3))),_xlpm.coverage,VALUE(SUBSTITUTE(SUBSTITUTE($S58,"$",""),",","")),_xlpm.base,_xlpm.rate*(_xlpm.coverage/1000),_xlpm.fee,_xlfn.XLOOKUP("Mutal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8" s="80">
        <f t="array" ref="AY58">IFERROR(_xlfn.LET(_xlpm.rate,INDEX('Mutual of Omaha-Graded'!$B$2:$E$37,MATCH($AE58,'Mutual of Omaha-Graded'!$A$2:$A$37,0),IF(LOWER(TRIM($F58))="male",IF(LOWER(TRIM($K58))="yes",2,1),IF(LOWER(TRIM($K58))="yes",4,3))),_xlpm.coverage,VALUE(SUBSTITUTE(SUBSTITUTE($S58,"$",""),",","")),_xlpm.base,_xlpm.rate*(_xlpm.coverage/1000),_xlpm.fee,_xlfn.XLOOKUP("Mutual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8" s="80">
        <f>AP58</f>
        <v/>
      </c>
      <c r="BA58" s="80">
        <f>IFERROR(IF(AND(AP58&gt;0,AP58&lt;VALUE(SUBSTITUTE(SUBSTITUTE($T58,"$",""),",",""))),VALUE(SUBSTITUTE(SUBSTITUTE($T58,"$",""),",",""))-AP58,""),"")</f>
        <v/>
      </c>
      <c r="BB58" s="80">
        <f>AL58</f>
        <v/>
      </c>
      <c r="BC58" s="80">
        <f>IFERROR(IF(AND(AL58&gt;0,AL58&lt;VALUE(SUBSTITUTE(SUBSTITUTE($T58,"$",""),",",""))),VALUE(SUBSTITUTE(SUBSTITUTE($T58,"$",""),",",""))-AL58,""),"")</f>
        <v/>
      </c>
      <c r="BD58">
        <f t="array" ref="BD58">IFERROR(_xlfn.LET(_xlpm.current,VALUE(SUBSTITUTE(SUBSTITUTE($T58,"$",""),",","")),_xlpm.quotes,AF58:AY58,_xlpm.lowest,_xlfn.MINIFS(_xlpm.quotes,_xlpm.quotes,"&lt;"&amp;_xlpm.current,_xlpm.quotes,"&gt;0"),IF(_xlpm.lowest="","",SUBSTITUTE(INDEX($AF$1:$AY$1,1,MATCH(_xlpm.lowest,_xlpm.quotes,0))," Monthly Quote",""))),"")</f>
        <v/>
      </c>
      <c r="BE58" s="80">
        <f t="array" ref="BE58">IFERROR(_xlfn.LET(_xlpm.current,VALUE(SUBSTITUTE(SUBSTITUTE($T58,"$",""),",","")),_xlpm.quotes,AF58:AY58,_xlpm.lowest,_xlfn.MINIFS(_xlpm.quotes,_xlpm.quotes,"&lt;"&amp;_xlpm.current,_xlpm.quotes,"&gt;0"),IF(_xlpm.lowest="","",_xlpm.current-_xlpm.lowest)),"")</f>
        <v/>
      </c>
    </row>
    <row r="59" ht="14.25" customHeight="1">
      <c r="A59" s="63" t="inlineStr">
        <is>
          <t>Robert E</t>
        </is>
      </c>
      <c r="B59" s="63" t="inlineStr">
        <is>
          <t>Gates</t>
        </is>
      </c>
      <c r="C59" s="64" t="n">
        <v>2143312732</v>
      </c>
      <c r="D59" s="64" t="n">
        <v>79</v>
      </c>
      <c r="E59" s="65" t="n">
        <v>16780</v>
      </c>
      <c r="F59" s="63" t="inlineStr">
        <is>
          <t>Male</t>
        </is>
      </c>
      <c r="G59" s="63" t="inlineStr">
        <is>
          <t>2204 Reynoldston Ln Dallas, TX 75232</t>
        </is>
      </c>
      <c r="H59" s="63" t="inlineStr">
        <is>
          <t>AR</t>
        </is>
      </c>
      <c r="I59" s="64" t="n">
        <v>5.11</v>
      </c>
      <c r="J59" s="63" t="inlineStr">
        <is>
          <t>195lbs</t>
        </is>
      </c>
      <c r="K59" s="63" t="inlineStr">
        <is>
          <t>No</t>
        </is>
      </c>
      <c r="L59" s="63" t="inlineStr">
        <is>
          <t>robertgates1975@gmail.com</t>
        </is>
      </c>
      <c r="M59" s="63" t="inlineStr">
        <is>
          <t>Cremation</t>
        </is>
      </c>
      <c r="N59" s="63" t="inlineStr">
        <is>
          <t>Yvette William (09 12 1967)</t>
        </is>
      </c>
      <c r="O59" s="63" t="inlineStr">
        <is>
          <t>Niece</t>
        </is>
      </c>
      <c r="P59" s="63" t="n"/>
      <c r="Q59" s="63" t="n"/>
      <c r="R59" s="63" t="inlineStr">
        <is>
          <t>AHL Preffered</t>
        </is>
      </c>
      <c r="S59" s="66" t="n">
        <v>5000</v>
      </c>
      <c r="T59" s="76" t="n">
        <v>67.65000000000001</v>
      </c>
      <c r="U59" s="65" t="n">
        <v>45994</v>
      </c>
      <c r="V59" s="65" t="n">
        <v>46025</v>
      </c>
      <c r="W59" s="64" t="n">
        <v>430843319</v>
      </c>
      <c r="X59" s="63" t="inlineStr">
        <is>
          <t>No</t>
        </is>
      </c>
      <c r="Y59" s="63" t="inlineStr">
        <is>
          <t>Credit Union of Texas</t>
        </is>
      </c>
      <c r="Z59" s="64" t="n">
        <v>311079306</v>
      </c>
      <c r="AA59" s="64" t="n">
        <v>9601338</v>
      </c>
      <c r="AB59" s="63" t="inlineStr">
        <is>
          <t>Kidney Disease Stage 2</t>
        </is>
      </c>
      <c r="AC59" s="63" t="inlineStr">
        <is>
          <t>No</t>
        </is>
      </c>
      <c r="AD59" s="63" t="inlineStr">
        <is>
          <t>Dr. Antonio Barksdale</t>
        </is>
      </c>
      <c r="AE59" s="64" t="n">
        <v>80</v>
      </c>
      <c r="AF59" s="80">
        <f t="array" ref="AF59">IFERROR(_xlfn.LET(_xlpm.rate,INDEX(aflac!$B$2:$E$37,MATCH($AE59,aflac!$A$2:$A$37,0),IF(LOWER(TRIM($F59))="male",IF(LOWER(TRIM($K59))="yes",2,1),IF(LOWER(TRIM($K59))="yes",4,3))),_xlpm.coverage,VALUE(SUBSTITUTE(SUBSTITUTE($S59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59" s="80">
        <f t="array" ref="AG59">IFERROR(_xlfn.LET(_xlpm.rate,INDEX('aflac-modified'!$B$2:$C$32,MATCH($AE59,'aflac-modified'!$A$2:$A$32,0),IF(LOWER(TRIM($F59))="male",1,2)),_xlpm.coverage,VALUE(SUBSTITUTE(SUBSTITUTE($S59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59" s="80">
        <f t="array" ref="AH59">IFERROR(_xlfn.LET(_xlpm.rate,INDEX(SBLI!$B$2:$E$37,MATCH($AE59,SBLI!$A$2:$A$37,0),IF(LOWER(TRIM($F59))="male",IF(LOWER(TRIM($K59))="yes",2,1),IF(LOWER(TRIM($K59))="yes",4,3))),_xlpm.coverage,VALUE(SUBSTITUTE(SUBSTITUTE($S59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59" s="80">
        <f t="array" ref="AI59">IFERROR(_xlfn.LET(_xlpm.rate,INDEX('SBLI-Modified'!$B$2:$E$27,MATCH($AE59,'SBLI-Modified'!$A$2:$A$27,0),IF(LOWER(TRIM($F59))="male",IF(LOWER(TRIM($K59))="yes",2,1),IF(LOWER(TRIM($K59))="yes",4,3))),_xlpm.coverage,VALUE(SUBSTITUTE(SUBSTITUTE($S59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59" s="80">
        <f t="array" ref="AJ59">IFERROR(_xlfn.LET(_xlpm.rate,INDEX(CICA!$B$2:$C$42,MATCH($AE59,CICA!$A$2:$A$42,0),IF(LOWER(TRIM($F59))="male",1,2)),_xlpm.coverage,VALUE(SUBSTITUTE(SUBSTITUTE($S59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59" s="80">
        <f t="array" ref="AK59">IFERROR(_xlfn.LET(_xlpm.rate,INDEX('CICA-GI'!$B$2:$C$47,MATCH($AE59,'CICA-GI'!$A$2:$A$47,0),IF(LOWER(TRIM($F59))="male",1,2)),_xlpm.coverage,VALUE(SUBSTITUTE(SUBSTITUTE($S59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59" s="80">
        <f t="array" ref="AL59">IFERROR(_xlfn.LET(_xlpm.rate,INDEX(gtl!$B$2:$C$52,MATCH($AE59,gtl!$A$2:$A$52,0),IF(LOWER(TRIM($F59))="male",1,2)),_xlpm.coverage,VALUE(SUBSTITUTE(SUBSTITUTE($S59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59" s="80">
        <f t="array" ref="AM59">IFERROR(_xlfn.LET(_xlpm.rate,INDEX(TransAmerica!$B$2:$E$69,MATCH($AE59,TransAmerica!$A$2:$A$69,0),IF(LOWER(TRIM($F59))="male",IF(LOWER(TRIM($K59))="yes",2,1),IF(LOWER(TRIM($K59))="yes",4,3))),_xlpm.coverage,VALUE(SUBSTITUTE(SUBSTITUTE($S59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59" s="80">
        <f t="array" ref="AN59">IFERROR(_xlfn.LET(_xlpm.rate,INDEX('TransAmerica Graded'!$B$2:$E$64,MATCH($AE59,'TransAmerica Graded'!$A$2:$A$64,0),IF(LOWER(TRIM($F59))="male",IF(LOWER(TRIM($K59))="yes",2,1),IF(LOWER(TRIM($K59))="yes",4,3))),_xlpm.coverage,VALUE(SUBSTITUTE(SUBSTITUTE($S59,"$",""),",","")),_xlpm.base,_xlpm.rate*(_xlpm.coverage/1000),_xlpm.fee,_xlfn.XLOOKUP("TransAmerica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59" s="80">
        <f t="array" ref="AO59">IFERROR(_xlfn.LET(_xlpm.rate,INDEX(Corebridge!$B$2:$C$32,MATCH($AE59,Corebridge!$A$2:$A$32,0),IF(LOWER(TRIM($F59))="male",1,2)),_xlpm.coverage,VALUE(SUBSTITUTE(SUBSTITUTE($S59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59" s="80">
        <f t="array" ref="AP59">IFERROR(_xlfn.LET(_xlpm.rate,INDEX(amam!$B$2:$E$37,MATCH($AE59,amam!$A$2:$A$37,0),IF(LOWER(TRIM($F59))="male",IF(LOWER(TRIM($K59))="yes",2,1),IF(LOWER(TRIM($K59))="yes",4,3))),_xlpm.coverage,VALUE(SUBSTITUTE(SUBSTITUTE($S59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59" s="80">
        <f t="array" ref="AQ59">IFERROR(_xlfn.LET(_xlpm.rate,INDEX('amam-graded'!$B$2:$E$37,MATCH($AE59,'amam-graded'!$A$2:$A$37,0),IF(LOWER(TRIM($F59))="male",IF(LOWER(TRIM($K59))="yes",2,1),IF(LOWER(TRIM($K59))="yes",4,3))),_xlpm.coverage,VALUE(SUBSTITUTE(SUBSTITUTE($S59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59" s="80">
        <f t="array" ref="AR59">IFERROR(_xlfn.LET(_xlpm.rate,INDEX('amam-return-or-premium'!$B$2:$E$37,MATCH($AE59,'amam-return-or-premium'!$A$2:$A$37,0),IF(LOWER(TRIM($F59))="male",IF(LOWER(TRIM($K59))="yes",2,1),IF(LOWER(TRIM($K59))="yes",4,3))),_xlpm.coverage,VALUE(SUBSTITUTE(SUBSTITUTE($S59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59" s="80">
        <f t="array" ref="AS59">IFERROR(_xlfn.LET(_xlpm.rate,INDEX(AHL!$B$2:$E$37,MATCH($AE59,AHL!$A$2:$A$37,0),IF(LOWER(TRIM($F59))="male",IF(LOWER(TRIM($K59))="yes",2,1),IF(LOWER(TRIM($K59))="yes",4,3))),_xlpm.coverage,VALUE(SUBSTITUTE(SUBSTITUTE($S59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59" s="80">
        <f t="array" ref="AT59">IFERROR(_xlfn.LET(_xlpm.rate,INDEX('AHL-Graded'!$B$2:$E$32,MATCH($AE59,'AHL-Graded'!$A$2:$A$32,0),IF(LOWER(TRIM($F59))="male",IF(LOWER(TRIM($K59))="yes",2,1),IF(LOWER(TRIM($K59))="yes",4,3))),_xlpm.coverage,VALUE(SUBSTITUTE(SUBSTITUTE($S59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59" s="80">
        <f t="array" ref="AU59">IFERROR(_xlfn.LET(_xlpm.rate,INDEX('Royal Neighbors'!$B$2:$E$37,MATCH($AE59,'Royal Neighbors'!$A$2:$A$37,0),IF(LOWER(TRIM($F59))="male",IF(LOWER(TRIM($K59))="yes",2,1),IF(LOWER(TRIM($K59))="yes",4,3))),_xlpm.coverage,VALUE(SUBSTITUTE(SUBSTITUTE($S59,"$",""),",","")),_xlpm.base,_xlpm.rate*(_xlpm.coverage/1000),_xlpm.fee,_xlfn.XLOOKUP("Royal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59" s="80">
        <f t="array" ref="AV59">IFERROR(_xlfn.LET(_xlpm.rate,INDEX('Royal Neighbors-Graded'!$B$2:$E$37,MATCH($AE59,'Royal Neighbors-Graded'!$A$2:$A$37,0),IF(LOWER(TRIM($F59))="male",IF(LOWER(TRIM($K59))="yes",2,1),IF(LOWER(TRIM($K59))="yes",4,3))),_xlpm.coverage,VALUE(SUBSTITUTE(SUBSTITUTE($S59,"$",""),",","")),_xlpm.base,_xlpm.rate*(_xlpm.coverage/1000),_xlpm.fee,_xlfn.XLOOKUP("Royal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59" s="80">
        <f t="array" ref="AW59">IFERROR(_xlfn.LET(_xlpm.rate,INDEX('Gerber-GI'!$B$2:$C$32,MATCH($AE59,'Gerber-GI'!$A$2:$A$32,0),IF(LOWER(TRIM($F59))="male",1,2)),_xlpm.coverage,VALUE(SUBSTITUTE(SUBSTITUTE($S59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59" s="80">
        <f t="array" ref="AX59">IFERROR(_xlfn.LET(_xlpm.rate,INDEX('Mutual of Omaha'!$B$2:$E$42,MATCH($AE59,'Mutual of Omaha'!$A$2:$A$42,0),IF(LOWER(TRIM($F59))="male",IF(LOWER(TRIM($K59))="yes",2,1),IF(LOWER(TRIM($K59))="yes",4,3))),_xlpm.coverage,VALUE(SUBSTITUTE(SUBSTITUTE($S59,"$",""),",","")),_xlpm.base,_xlpm.rate*(_xlpm.coverage/1000),_xlpm.fee,_xlfn.XLOOKUP("Mutal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59" s="80">
        <f t="array" ref="AY59">IFERROR(_xlfn.LET(_xlpm.rate,INDEX('Mutual of Omaha-Graded'!$B$2:$E$37,MATCH($AE59,'Mutual of Omaha-Graded'!$A$2:$A$37,0),IF(LOWER(TRIM($F59))="male",IF(LOWER(TRIM($K59))="yes",2,1),IF(LOWER(TRIM($K59))="yes",4,3))),_xlpm.coverage,VALUE(SUBSTITUTE(SUBSTITUTE($S59,"$",""),",","")),_xlpm.base,_xlpm.rate*(_xlpm.coverage/1000),_xlpm.fee,_xlfn.XLOOKUP("Mutual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59" s="80">
        <f>AP59</f>
        <v/>
      </c>
      <c r="BA59" s="80">
        <f>IFERROR(IF(AND(AP59&gt;0,AP59&lt;VALUE(SUBSTITUTE(SUBSTITUTE($T59,"$",""),",",""))),VALUE(SUBSTITUTE(SUBSTITUTE($T59,"$",""),",",""))-AP59,""),"")</f>
        <v/>
      </c>
      <c r="BB59" s="80">
        <f>AL59</f>
        <v/>
      </c>
      <c r="BC59" s="80">
        <f>IFERROR(IF(AND(AL59&gt;0,AL59&lt;VALUE(SUBSTITUTE(SUBSTITUTE($T59,"$",""),",",""))),VALUE(SUBSTITUTE(SUBSTITUTE($T59,"$",""),",",""))-AL59,""),"")</f>
        <v/>
      </c>
      <c r="BD59">
        <f t="array" ref="BD59">IFERROR(_xlfn.LET(_xlpm.current,VALUE(SUBSTITUTE(SUBSTITUTE($T59,"$",""),",","")),_xlpm.quotes,AF59:AY59,_xlpm.lowest,_xlfn.MINIFS(_xlpm.quotes,_xlpm.quotes,"&lt;"&amp;_xlpm.current,_xlpm.quotes,"&gt;0"),IF(_xlpm.lowest="","",SUBSTITUTE(INDEX($AF$1:$AY$1,1,MATCH(_xlpm.lowest,_xlpm.quotes,0))," Monthly Quote",""))),"")</f>
        <v/>
      </c>
      <c r="BE59" s="80">
        <f t="array" ref="BE59">IFERROR(_xlfn.LET(_xlpm.current,VALUE(SUBSTITUTE(SUBSTITUTE($T59,"$",""),",","")),_xlpm.quotes,AF59:AY59,_xlpm.lowest,_xlfn.MINIFS(_xlpm.quotes,_xlpm.quotes,"&lt;"&amp;_xlpm.current,_xlpm.quotes,"&gt;0"),IF(_xlpm.lowest="","",_xlpm.current-_xlpm.lowest)),"")</f>
        <v/>
      </c>
    </row>
    <row r="60">
      <c r="A60" s="67" t="inlineStr">
        <is>
          <t>Carol L</t>
        </is>
      </c>
      <c r="B60" s="67" t="inlineStr">
        <is>
          <t>Dennis</t>
        </is>
      </c>
      <c r="C60" s="68" t="n">
        <v>3172591978</v>
      </c>
      <c r="D60" s="68" t="n">
        <v>84</v>
      </c>
      <c r="E60" s="69" t="n">
        <v>15261</v>
      </c>
      <c r="F60" s="67" t="inlineStr">
        <is>
          <t>Female</t>
        </is>
      </c>
      <c r="G60" s="67" t="inlineStr">
        <is>
          <t>3646 Bay Road South Dr Indianapolis IN 46240</t>
        </is>
      </c>
      <c r="H60" s="67" t="inlineStr">
        <is>
          <t>Michigan</t>
        </is>
      </c>
      <c r="I60" s="68" t="n">
        <v>5.2</v>
      </c>
      <c r="J60" s="68" t="n">
        <v>152</v>
      </c>
      <c r="K60" s="67" t="inlineStr">
        <is>
          <t>No</t>
        </is>
      </c>
      <c r="L60" s="67" t="n"/>
      <c r="M60" s="67" t="inlineStr">
        <is>
          <t>Leave Money for Sons</t>
        </is>
      </c>
      <c r="N60" s="67" t="inlineStr">
        <is>
          <t>Robert Eads</t>
        </is>
      </c>
      <c r="O60" s="67" t="inlineStr">
        <is>
          <t>Son</t>
        </is>
      </c>
      <c r="P60" s="67" t="inlineStr">
        <is>
          <t>Rick Eads &amp; Charles Eads</t>
        </is>
      </c>
      <c r="Q60" s="67" t="inlineStr">
        <is>
          <t>Sons</t>
        </is>
      </c>
      <c r="R60" s="67" t="inlineStr">
        <is>
          <t>AHL</t>
        </is>
      </c>
      <c r="S60" s="70" t="n">
        <v>3000</v>
      </c>
      <c r="T60" s="68" t="n">
        <v>44.9</v>
      </c>
      <c r="U60" s="69" t="n">
        <v>45980</v>
      </c>
      <c r="V60" s="69" t="n">
        <v>46010</v>
      </c>
      <c r="W60" s="68" t="n">
        <v>309427600</v>
      </c>
      <c r="X60" s="67" t="inlineStr">
        <is>
          <t>Nil</t>
        </is>
      </c>
      <c r="Y60" s="67" t="inlineStr">
        <is>
          <t>JP Morgan Chase Bank</t>
        </is>
      </c>
      <c r="Z60" s="68" t="n">
        <v>74000010</v>
      </c>
      <c r="AA60" s="68" t="n">
        <v>652687636</v>
      </c>
      <c r="AB60" s="67" t="inlineStr">
        <is>
          <t>Thyroid</t>
        </is>
      </c>
      <c r="AC60" s="67" t="inlineStr">
        <is>
          <t>Thyroid</t>
        </is>
      </c>
      <c r="AD60" s="67" t="inlineStr">
        <is>
          <t>Dr. James Malenkos</t>
        </is>
      </c>
      <c r="AE60" s="68" t="n">
        <v>84</v>
      </c>
      <c r="AF60" s="80">
        <f t="array" ref="AF60">IFERROR(_xlfn.LET(_xlpm.rate,INDEX(aflac!$B$2:$E$37,MATCH($AE60,aflac!$A$2:$A$37,0),IF(LOWER(TRIM($F60))="male",IF(LOWER(TRIM($K60))="yes",2,1),IF(LOWER(TRIM($K60))="yes",4,3))),_xlpm.coverage,VALUE(SUBSTITUTE(SUBSTITUTE($S60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0" s="80">
        <f t="array" ref="AG60">IFERROR(_xlfn.LET(_xlpm.rate,INDEX('aflac-modified'!$B$2:$C$32,MATCH($AE60,'aflac-modified'!$A$2:$A$32,0),IF(LOWER(TRIM($F60))="male",1,2)),_xlpm.coverage,VALUE(SUBSTITUTE(SUBSTITUTE($S60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0" s="80">
        <f t="array" ref="AH60">IFERROR(_xlfn.LET(_xlpm.rate,INDEX(SBLI!$B$2:$E$37,MATCH($AE60,SBLI!$A$2:$A$37,0),IF(LOWER(TRIM($F60))="male",IF(LOWER(TRIM($K60))="yes",2,1),IF(LOWER(TRIM($K60))="yes",4,3))),_xlpm.coverage,VALUE(SUBSTITUTE(SUBSTITUTE($S60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0" s="80">
        <f t="array" ref="AI60">IFERROR(_xlfn.LET(_xlpm.rate,INDEX('SBLI-Modified'!$B$2:$E$27,MATCH($AE60,'SBLI-Modified'!$A$2:$A$27,0),IF(LOWER(TRIM($F60))="male",IF(LOWER(TRIM($K60))="yes",2,1),IF(LOWER(TRIM($K60))="yes",4,3))),_xlpm.coverage,VALUE(SUBSTITUTE(SUBSTITUTE($S60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0" s="80">
        <f t="array" ref="AJ60">IFERROR(_xlfn.LET(_xlpm.rate,INDEX(CICA!$B$2:$C$42,MATCH($AE60,CICA!$A$2:$A$42,0),IF(LOWER(TRIM($F60))="male",1,2)),_xlpm.coverage,VALUE(SUBSTITUTE(SUBSTITUTE($S60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0" s="80">
        <f t="array" ref="AK60">IFERROR(_xlfn.LET(_xlpm.rate,INDEX('CICA-GI'!$B$2:$C$47,MATCH($AE60,'CICA-GI'!$A$2:$A$47,0),IF(LOWER(TRIM($F60))="male",1,2)),_xlpm.coverage,VALUE(SUBSTITUTE(SUBSTITUTE($S60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0" s="80">
        <f t="array" ref="AL60">IFERROR(_xlfn.LET(_xlpm.rate,INDEX(gtl!$B$2:$C$52,MATCH($AE60,gtl!$A$2:$A$52,0),IF(LOWER(TRIM($F60))="male",1,2)),_xlpm.coverage,VALUE(SUBSTITUTE(SUBSTITUTE($S60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0" s="80">
        <f t="array" ref="AM60">IFERROR(_xlfn.LET(_xlpm.rate,INDEX(TransAmerica!$B$2:$E$69,MATCH($AE60,TransAmerica!$A$2:$A$69,0),IF(LOWER(TRIM($F60))="male",IF(LOWER(TRIM($K60))="yes",2,1),IF(LOWER(TRIM($K60))="yes",4,3))),_xlpm.coverage,VALUE(SUBSTITUTE(SUBSTITUTE($S60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0" s="80">
        <f t="array" ref="AN60">IFERROR(_xlfn.LET(_xlpm.rate,INDEX('TransAmerica Graded'!$B$2:$E$64,MATCH($AE60,'TransAmerica Graded'!$A$2:$A$64,0),IF(LOWER(TRIM($F60))="male",IF(LOWER(TRIM($K60))="yes",2,1),IF(LOWER(TRIM($K60))="yes",4,3))),_xlpm.coverage,VALUE(SUBSTITUTE(SUBSTITUTE($S60,"$",""),",","")),_xlpm.base,_xlpm.rate*(_xlpm.coverage/1000),_xlpm.fee,_xlfn.XLOOKUP("TransAmerica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0" s="80">
        <f t="array" ref="AO60">IFERROR(_xlfn.LET(_xlpm.rate,INDEX(Corebridge!$B$2:$C$32,MATCH($AE60,Corebridge!$A$2:$A$32,0),IF(LOWER(TRIM($F60))="male",1,2)),_xlpm.coverage,VALUE(SUBSTITUTE(SUBSTITUTE($S60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0" s="80">
        <f t="array" ref="AP60">IFERROR(_xlfn.LET(_xlpm.rate,INDEX(amam!$B$2:$E$37,MATCH($AE60,amam!$A$2:$A$37,0),IF(LOWER(TRIM($F60))="male",IF(LOWER(TRIM($K60))="yes",2,1),IF(LOWER(TRIM($K60))="yes",4,3))),_xlpm.coverage,VALUE(SUBSTITUTE(SUBSTITUTE($S60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0" s="80">
        <f t="array" ref="AQ60">IFERROR(_xlfn.LET(_xlpm.rate,INDEX('amam-graded'!$B$2:$E$37,MATCH($AE60,'amam-graded'!$A$2:$A$37,0),IF(LOWER(TRIM($F60))="male",IF(LOWER(TRIM($K60))="yes",2,1),IF(LOWER(TRIM($K60))="yes",4,3))),_xlpm.coverage,VALUE(SUBSTITUTE(SUBSTITUTE($S60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0" s="80">
        <f t="array" ref="AR60">IFERROR(_xlfn.LET(_xlpm.rate,INDEX('amam-return-or-premium'!$B$2:$E$37,MATCH($AE60,'amam-return-or-premium'!$A$2:$A$37,0),IF(LOWER(TRIM($F60))="male",IF(LOWER(TRIM($K60))="yes",2,1),IF(LOWER(TRIM($K60))="yes",4,3))),_xlpm.coverage,VALUE(SUBSTITUTE(SUBSTITUTE($S60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0" s="80">
        <f t="array" ref="AS60">IFERROR(_xlfn.LET(_xlpm.rate,INDEX(AHL!$B$2:$E$37,MATCH($AE60,AHL!$A$2:$A$37,0),IF(LOWER(TRIM($F60))="male",IF(LOWER(TRIM($K60))="yes",2,1),IF(LOWER(TRIM($K60))="yes",4,3))),_xlpm.coverage,VALUE(SUBSTITUTE(SUBSTITUTE($S60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0" s="80">
        <f t="array" ref="AT60">IFERROR(_xlfn.LET(_xlpm.rate,INDEX('AHL-Graded'!$B$2:$E$32,MATCH($AE60,'AHL-Graded'!$A$2:$A$32,0),IF(LOWER(TRIM($F60))="male",IF(LOWER(TRIM($K60))="yes",2,1),IF(LOWER(TRIM($K60))="yes",4,3))),_xlpm.coverage,VALUE(SUBSTITUTE(SUBSTITUTE($S60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0" s="80">
        <f t="array" ref="AU60">IFERROR(_xlfn.LET(_xlpm.rate,INDEX('Royal Neighbors'!$B$2:$E$37,MATCH($AE60,'Royal Neighbors'!$A$2:$A$37,0),IF(LOWER(TRIM($F60))="male",IF(LOWER(TRIM($K60))="yes",2,1),IF(LOWER(TRIM($K60))="yes",4,3))),_xlpm.coverage,VALUE(SUBSTITUTE(SUBSTITUTE($S60,"$",""),",","")),_xlpm.base,_xlpm.rate*(_xlpm.coverage/1000),_xlpm.fee,_xlfn.XLOOKUP("Royal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0" s="80">
        <f t="array" ref="AV60">IFERROR(_xlfn.LET(_xlpm.rate,INDEX('Royal Neighbors-Graded'!$B$2:$E$37,MATCH($AE60,'Royal Neighbors-Graded'!$A$2:$A$37,0),IF(LOWER(TRIM($F60))="male",IF(LOWER(TRIM($K60))="yes",2,1),IF(LOWER(TRIM($K60))="yes",4,3))),_xlpm.coverage,VALUE(SUBSTITUTE(SUBSTITUTE($S60,"$",""),",","")),_xlpm.base,_xlpm.rate*(_xlpm.coverage/1000),_xlpm.fee,_xlfn.XLOOKUP("Royal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0" s="80">
        <f t="array" ref="AW60">IFERROR(_xlfn.LET(_xlpm.rate,INDEX('Gerber-GI'!$B$2:$C$32,MATCH($AE60,'Gerber-GI'!$A$2:$A$32,0),IF(LOWER(TRIM($F60))="male",1,2)),_xlpm.coverage,VALUE(SUBSTITUTE(SUBSTITUTE($S60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0" s="80">
        <f t="array" ref="AX60">IFERROR(_xlfn.LET(_xlpm.rate,INDEX('Mutual of Omaha'!$B$2:$E$42,MATCH($AE60,'Mutual of Omaha'!$A$2:$A$42,0),IF(LOWER(TRIM($F60))="male",IF(LOWER(TRIM($K60))="yes",2,1),IF(LOWER(TRIM($K60))="yes",4,3))),_xlpm.coverage,VALUE(SUBSTITUTE(SUBSTITUTE($S60,"$",""),",","")),_xlpm.base,_xlpm.rate*(_xlpm.coverage/1000),_xlpm.fee,_xlfn.XLOOKUP("Mutal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0" s="80">
        <f t="array" ref="AY60">IFERROR(_xlfn.LET(_xlpm.rate,INDEX('Mutual of Omaha-Graded'!$B$2:$E$37,MATCH($AE60,'Mutual of Omaha-Graded'!$A$2:$A$37,0),IF(LOWER(TRIM($F60))="male",IF(LOWER(TRIM($K60))="yes",2,1),IF(LOWER(TRIM($K60))="yes",4,3))),_xlpm.coverage,VALUE(SUBSTITUTE(SUBSTITUTE($S60,"$",""),",","")),_xlpm.base,_xlpm.rate*(_xlpm.coverage/1000),_xlpm.fee,_xlfn.XLOOKUP("Mutual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0" s="80">
        <f>AP60</f>
        <v/>
      </c>
      <c r="BA60" s="80">
        <f>IFERROR(IF(AND(AP60&gt;0,AP60&lt;VALUE(SUBSTITUTE(SUBSTITUTE($T60,"$",""),",",""))),VALUE(SUBSTITUTE(SUBSTITUTE($T60,"$",""),",",""))-AP60,""),"")</f>
        <v/>
      </c>
      <c r="BB60" s="80">
        <f>AL60</f>
        <v/>
      </c>
      <c r="BC60" s="80">
        <f>IFERROR(IF(AND(AL60&gt;0,AL60&lt;VALUE(SUBSTITUTE(SUBSTITUTE($T60,"$",""),",",""))),VALUE(SUBSTITUTE(SUBSTITUTE($T60,"$",""),",",""))-AL60,""),"")</f>
        <v/>
      </c>
      <c r="BD60">
        <f t="array" ref="BD60">IFERROR(_xlfn.LET(_xlpm.current,VALUE(SUBSTITUTE(SUBSTITUTE($T60,"$",""),",","")),_xlpm.quotes,AF60:AY60,_xlpm.lowest,_xlfn.MINIFS(_xlpm.quotes,_xlpm.quotes,"&lt;"&amp;_xlpm.current,_xlpm.quotes,"&gt;0"),IF(_xlpm.lowest="","",SUBSTITUTE(INDEX($AF$1:$AY$1,1,MATCH(_xlpm.lowest,_xlpm.quotes,0))," Monthly Quote",""))),"")</f>
        <v/>
      </c>
      <c r="BE60" s="80">
        <f t="array" ref="BE60">IFERROR(_xlfn.LET(_xlpm.current,VALUE(SUBSTITUTE(SUBSTITUTE($T60,"$",""),",","")),_xlpm.quotes,AF60:AY60,_xlpm.lowest,_xlfn.MINIFS(_xlpm.quotes,_xlpm.quotes,"&lt;"&amp;_xlpm.current,_xlpm.quotes,"&gt;0"),IF(_xlpm.lowest="","",_xlpm.current-_xlpm.lowest)),"")</f>
        <v/>
      </c>
    </row>
    <row r="61">
      <c r="A61" s="63" t="inlineStr">
        <is>
          <t>April R</t>
        </is>
      </c>
      <c r="B61" s="63" t="inlineStr">
        <is>
          <t>Stratton</t>
        </is>
      </c>
      <c r="C61" s="64" t="n">
        <v>5302829726</v>
      </c>
      <c r="D61" s="64" t="n">
        <v>46</v>
      </c>
      <c r="E61" s="65" t="n">
        <v>28948</v>
      </c>
      <c r="F61" s="63" t="inlineStr">
        <is>
          <t>Female</t>
        </is>
      </c>
      <c r="G61" s="63" t="inlineStr">
        <is>
          <t>158 Hammon Park Dr Oroville CA 95965</t>
        </is>
      </c>
      <c r="H61" s="63" t="inlineStr">
        <is>
          <t>CA</t>
        </is>
      </c>
      <c r="I61" s="64" t="n">
        <v>5.5</v>
      </c>
      <c r="J61" s="64" t="n">
        <v>120</v>
      </c>
      <c r="K61" s="63" t="inlineStr">
        <is>
          <t>yes</t>
        </is>
      </c>
      <c r="L61" s="63" t="n"/>
      <c r="M61" s="63" t="inlineStr">
        <is>
          <t>Burial</t>
        </is>
      </c>
      <c r="N61" s="63" t="inlineStr">
        <is>
          <t>(Noalanee House: 10/25/2003)</t>
        </is>
      </c>
      <c r="O61" s="63" t="inlineStr">
        <is>
          <t>Daughter</t>
        </is>
      </c>
      <c r="P61" s="63" t="n"/>
      <c r="Q61" s="63" t="n"/>
      <c r="R61" s="63" t="inlineStr">
        <is>
          <t>AHL</t>
        </is>
      </c>
      <c r="S61" s="66" t="n">
        <v>15000</v>
      </c>
      <c r="T61" s="76" t="n">
        <v>65.28</v>
      </c>
      <c r="U61" s="65" t="n">
        <v>45989</v>
      </c>
      <c r="V61" s="65" t="n">
        <v>46019</v>
      </c>
      <c r="W61" s="64" t="n">
        <v>559591600</v>
      </c>
      <c r="X61" s="63" t="inlineStr">
        <is>
          <t>no</t>
        </is>
      </c>
      <c r="Y61" s="63" t="inlineStr">
        <is>
          <t>GO2bank</t>
        </is>
      </c>
      <c r="Z61" s="64" t="n">
        <v>124303162</v>
      </c>
      <c r="AA61" s="78" t="n">
        <v>15200000000000</v>
      </c>
      <c r="AB61" s="63" t="inlineStr">
        <is>
          <t>COPD(inhaler) , Schizophrenia , Bi Poler</t>
        </is>
      </c>
      <c r="AC61" s="63" t="inlineStr">
        <is>
          <t>10 med</t>
        </is>
      </c>
      <c r="AD61" s="63" t="inlineStr">
        <is>
          <t>No</t>
        </is>
      </c>
      <c r="AE61" s="64" t="n">
        <v>47</v>
      </c>
      <c r="AF61" s="80">
        <f t="array" ref="AF61">IFERROR(_xlfn.LET(_xlpm.rate,INDEX(aflac!$B$2:$E$37,MATCH($AE61,aflac!$A$2:$A$37,0),IF(LOWER(TRIM($F61))="male",IF(LOWER(TRIM($K61))="yes",2,1),IF(LOWER(TRIM($K61))="yes",4,3))),_xlpm.coverage,VALUE(SUBSTITUTE(SUBSTITUTE($S61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1" s="80">
        <f t="array" ref="AG61">IFERROR(_xlfn.LET(_xlpm.rate,INDEX('aflac-modified'!$B$2:$C$32,MATCH($AE61,'aflac-modified'!$A$2:$A$32,0),IF(LOWER(TRIM($F61))="male",1,2)),_xlpm.coverage,VALUE(SUBSTITUTE(SUBSTITUTE($S61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1" s="80">
        <f t="array" ref="AH61">IFERROR(_xlfn.LET(_xlpm.rate,INDEX(SBLI!$B$2:$E$37,MATCH($AE61,SBLI!$A$2:$A$37,0),IF(LOWER(TRIM($F61))="male",IF(LOWER(TRIM($K61))="yes",2,1),IF(LOWER(TRIM($K61))="yes",4,3))),_xlpm.coverage,VALUE(SUBSTITUTE(SUBSTITUTE($S61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1" s="80">
        <f t="array" ref="AI61">IFERROR(_xlfn.LET(_xlpm.rate,INDEX('SBLI-Modified'!$B$2:$E$27,MATCH($AE61,'SBLI-Modified'!$A$2:$A$27,0),IF(LOWER(TRIM($F61))="male",IF(LOWER(TRIM($K61))="yes",2,1),IF(LOWER(TRIM($K61))="yes",4,3))),_xlpm.coverage,VALUE(SUBSTITUTE(SUBSTITUTE($S61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1" s="80">
        <f t="array" ref="AJ61">IFERROR(_xlfn.LET(_xlpm.rate,INDEX(CICA!$B$2:$C$42,MATCH($AE61,CICA!$A$2:$A$42,0),IF(LOWER(TRIM($F61))="male",1,2)),_xlpm.coverage,VALUE(SUBSTITUTE(SUBSTITUTE($S61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1" s="80">
        <f t="array" ref="AK61">IFERROR(_xlfn.LET(_xlpm.rate,INDEX('CICA-GI'!$B$2:$C$47,MATCH($AE61,'CICA-GI'!$A$2:$A$47,0),IF(LOWER(TRIM($F61))="male",1,2)),_xlpm.coverage,VALUE(SUBSTITUTE(SUBSTITUTE($S61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1" s="80">
        <f t="array" ref="AL61">IFERROR(_xlfn.LET(_xlpm.rate,INDEX(gtl!$B$2:$C$52,MATCH($AE61,gtl!$A$2:$A$52,0),IF(LOWER(TRIM($F61))="male",1,2)),_xlpm.coverage,VALUE(SUBSTITUTE(SUBSTITUTE($S61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1" s="80">
        <f t="array" ref="AM61">IFERROR(_xlfn.LET(_xlpm.rate,INDEX(TransAmerica!$B$2:$E$69,MATCH($AE61,TransAmerica!$A$2:$A$69,0),IF(LOWER(TRIM($F61))="male",IF(LOWER(TRIM($K61))="yes",2,1),IF(LOWER(TRIM($K61))="yes",4,3))),_xlpm.coverage,VALUE(SUBSTITUTE(SUBSTITUTE($S61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1" s="80">
        <f t="array" ref="AN61">IFERROR(_xlfn.LET(_xlpm.rate,INDEX('TransAmerica Graded'!$B$2:$E$64,MATCH($AE61,'TransAmerica Graded'!$A$2:$A$64,0),IF(LOWER(TRIM($F61))="male",IF(LOWER(TRIM($K61))="yes",2,1),IF(LOWER(TRIM($K61))="yes",4,3))),_xlpm.coverage,VALUE(SUBSTITUTE(SUBSTITUTE($S61,"$",""),",","")),_xlpm.base,_xlpm.rate*(_xlpm.coverage/1000),_xlpm.fee,_xlfn.XLOOKUP("TransAmerica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1" s="80">
        <f t="array" ref="AO61">IFERROR(_xlfn.LET(_xlpm.rate,INDEX(Corebridge!$B$2:$C$32,MATCH($AE61,Corebridge!$A$2:$A$32,0),IF(LOWER(TRIM($F61))="male",1,2)),_xlpm.coverage,VALUE(SUBSTITUTE(SUBSTITUTE($S61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1" s="80">
        <f t="array" ref="AP61">IFERROR(_xlfn.LET(_xlpm.rate,INDEX(amam!$B$2:$E$37,MATCH($AE61,amam!$A$2:$A$37,0),IF(LOWER(TRIM($F61))="male",IF(LOWER(TRIM($K61))="yes",2,1),IF(LOWER(TRIM($K61))="yes",4,3))),_xlpm.coverage,VALUE(SUBSTITUTE(SUBSTITUTE($S61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1" s="80">
        <f t="array" ref="AQ61">IFERROR(_xlfn.LET(_xlpm.rate,INDEX('amam-graded'!$B$2:$E$37,MATCH($AE61,'amam-graded'!$A$2:$A$37,0),IF(LOWER(TRIM($F61))="male",IF(LOWER(TRIM($K61))="yes",2,1),IF(LOWER(TRIM($K61))="yes",4,3))),_xlpm.coverage,VALUE(SUBSTITUTE(SUBSTITUTE($S61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1" s="80">
        <f t="array" ref="AR61">IFERROR(_xlfn.LET(_xlpm.rate,INDEX('amam-return-or-premium'!$B$2:$E$37,MATCH($AE61,'amam-return-or-premium'!$A$2:$A$37,0),IF(LOWER(TRIM($F61))="male",IF(LOWER(TRIM($K61))="yes",2,1),IF(LOWER(TRIM($K61))="yes",4,3))),_xlpm.coverage,VALUE(SUBSTITUTE(SUBSTITUTE($S61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1" s="80">
        <f t="array" ref="AS61">IFERROR(_xlfn.LET(_xlpm.rate,INDEX(AHL!$B$2:$E$37,MATCH($AE61,AHL!$A$2:$A$37,0),IF(LOWER(TRIM($F61))="male",IF(LOWER(TRIM($K61))="yes",2,1),IF(LOWER(TRIM($K61))="yes",4,3))),_xlpm.coverage,VALUE(SUBSTITUTE(SUBSTITUTE($S61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1" s="80">
        <f t="array" ref="AT61">IFERROR(_xlfn.LET(_xlpm.rate,INDEX('AHL-Graded'!$B$2:$E$32,MATCH($AE61,'AHL-Graded'!$A$2:$A$32,0),IF(LOWER(TRIM($F61))="male",IF(LOWER(TRIM($K61))="yes",2,1),IF(LOWER(TRIM($K61))="yes",4,3))),_xlpm.coverage,VALUE(SUBSTITUTE(SUBSTITUTE($S61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1" s="80">
        <f t="array" ref="AU61">IFERROR(_xlfn.LET(_xlpm.rate,INDEX('Royal Neighbors'!$B$2:$E$37,MATCH($AE61,'Royal Neighbors'!$A$2:$A$37,0),IF(LOWER(TRIM($F61))="male",IF(LOWER(TRIM($K61))="yes",2,1),IF(LOWER(TRIM($K61))="yes",4,3))),_xlpm.coverage,VALUE(SUBSTITUTE(SUBSTITUTE($S61,"$",""),",","")),_xlpm.base,_xlpm.rate*(_xlpm.coverage/1000),_xlpm.fee,_xlfn.XLOOKUP("Royal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1" s="80">
        <f t="array" ref="AV61">IFERROR(_xlfn.LET(_xlpm.rate,INDEX('Royal Neighbors-Graded'!$B$2:$E$37,MATCH($AE61,'Royal Neighbors-Graded'!$A$2:$A$37,0),IF(LOWER(TRIM($F61))="male",IF(LOWER(TRIM($K61))="yes",2,1),IF(LOWER(TRIM($K61))="yes",4,3))),_xlpm.coverage,VALUE(SUBSTITUTE(SUBSTITUTE($S61,"$",""),",","")),_xlpm.base,_xlpm.rate*(_xlpm.coverage/1000),_xlpm.fee,_xlfn.XLOOKUP("Royal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1" s="80">
        <f t="array" ref="AW61">IFERROR(_xlfn.LET(_xlpm.rate,INDEX('Gerber-GI'!$B$2:$C$32,MATCH($AE61,'Gerber-GI'!$A$2:$A$32,0),IF(LOWER(TRIM($F61))="male",1,2)),_xlpm.coverage,VALUE(SUBSTITUTE(SUBSTITUTE($S61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1" s="80">
        <f t="array" ref="AX61">IFERROR(_xlfn.LET(_xlpm.rate,INDEX('Mutual of Omaha'!$B$2:$E$42,MATCH($AE61,'Mutual of Omaha'!$A$2:$A$42,0),IF(LOWER(TRIM($F61))="male",IF(LOWER(TRIM($K61))="yes",2,1),IF(LOWER(TRIM($K61))="yes",4,3))),_xlpm.coverage,VALUE(SUBSTITUTE(SUBSTITUTE($S61,"$",""),",","")),_xlpm.base,_xlpm.rate*(_xlpm.coverage/1000),_xlpm.fee,_xlfn.XLOOKUP("Mutal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1" s="80">
        <f t="array" ref="AY61">IFERROR(_xlfn.LET(_xlpm.rate,INDEX('Mutual of Omaha-Graded'!$B$2:$E$37,MATCH($AE61,'Mutual of Omaha-Graded'!$A$2:$A$37,0),IF(LOWER(TRIM($F61))="male",IF(LOWER(TRIM($K61))="yes",2,1),IF(LOWER(TRIM($K61))="yes",4,3))),_xlpm.coverage,VALUE(SUBSTITUTE(SUBSTITUTE($S61,"$",""),",","")),_xlpm.base,_xlpm.rate*(_xlpm.coverage/1000),_xlpm.fee,_xlfn.XLOOKUP("Mutual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1" s="80">
        <f>AP61</f>
        <v/>
      </c>
      <c r="BA61" s="80">
        <f>IFERROR(IF(AND(AP61&gt;0,AP61&lt;VALUE(SUBSTITUTE(SUBSTITUTE($T61,"$",""),",",""))),VALUE(SUBSTITUTE(SUBSTITUTE($T61,"$",""),",",""))-AP61,""),"")</f>
        <v/>
      </c>
      <c r="BB61" s="80">
        <f>AL61</f>
        <v/>
      </c>
      <c r="BC61" s="80">
        <f>IFERROR(IF(AND(AL61&gt;0,AL61&lt;VALUE(SUBSTITUTE(SUBSTITUTE($T61,"$",""),",",""))),VALUE(SUBSTITUTE(SUBSTITUTE($T61,"$",""),",",""))-AL61,""),"")</f>
        <v/>
      </c>
      <c r="BD61">
        <f t="array" ref="BD61">IFERROR(_xlfn.LET(_xlpm.current,VALUE(SUBSTITUTE(SUBSTITUTE($T61,"$",""),",","")),_xlpm.quotes,AF61:AY61,_xlpm.lowest,_xlfn.MINIFS(_xlpm.quotes,_xlpm.quotes,"&lt;"&amp;_xlpm.current,_xlpm.quotes,"&gt;0"),IF(_xlpm.lowest="","",SUBSTITUTE(INDEX($AF$1:$AY$1,1,MATCH(_xlpm.lowest,_xlpm.quotes,0))," Monthly Quote",""))),"")</f>
        <v/>
      </c>
      <c r="BE61" s="80">
        <f t="array" ref="BE61">IFERROR(_xlfn.LET(_xlpm.current,VALUE(SUBSTITUTE(SUBSTITUTE($T61,"$",""),",","")),_xlpm.quotes,AF61:AY61,_xlpm.lowest,_xlfn.MINIFS(_xlpm.quotes,_xlpm.quotes,"&lt;"&amp;_xlpm.current,_xlpm.quotes,"&gt;0"),IF(_xlpm.lowest="","",_xlpm.current-_xlpm.lowest)),"")</f>
        <v/>
      </c>
    </row>
    <row r="62">
      <c r="A62" s="67" t="inlineStr">
        <is>
          <t>Elsie</t>
        </is>
      </c>
      <c r="B62" s="67" t="inlineStr">
        <is>
          <t>Frazier-Trivedi</t>
        </is>
      </c>
      <c r="C62" s="68" t="n">
        <v>7347785701</v>
      </c>
      <c r="D62" s="68" t="n">
        <v>85</v>
      </c>
      <c r="E62" s="69" t="n">
        <v>14909</v>
      </c>
      <c r="F62" s="67" t="inlineStr">
        <is>
          <t>Female</t>
        </is>
      </c>
      <c r="G62" s="67" t="inlineStr">
        <is>
          <t>29616 Hanover Blvd Westland, MI 48186</t>
        </is>
      </c>
      <c r="H62" s="67" t="inlineStr">
        <is>
          <t>WV</t>
        </is>
      </c>
      <c r="I62" s="68" t="n">
        <v>5.2</v>
      </c>
      <c r="J62" s="68" t="n">
        <v>178</v>
      </c>
      <c r="K62" s="67" t="inlineStr">
        <is>
          <t>No</t>
        </is>
      </c>
      <c r="L62" s="67" t="inlineStr">
        <is>
          <t>.</t>
        </is>
      </c>
      <c r="M62" s="67" t="inlineStr">
        <is>
          <t>Burial</t>
        </is>
      </c>
      <c r="N62" s="67" t="inlineStr">
        <is>
          <t>Brenda Alexander: 08/11/1939</t>
        </is>
      </c>
      <c r="O62" s="67" t="inlineStr">
        <is>
          <t>Sister</t>
        </is>
      </c>
      <c r="P62" s="67" t="inlineStr">
        <is>
          <t>.</t>
        </is>
      </c>
      <c r="Q62" s="67" t="inlineStr">
        <is>
          <t>.</t>
        </is>
      </c>
      <c r="R62" s="67" t="inlineStr">
        <is>
          <t>AHL</t>
        </is>
      </c>
      <c r="S62" s="70" t="n">
        <v>2500</v>
      </c>
      <c r="T62" s="74" t="n">
        <v>40.06</v>
      </c>
      <c r="U62" s="69" t="n">
        <v>45992</v>
      </c>
      <c r="V62" s="69" t="n">
        <v>46023</v>
      </c>
      <c r="W62" s="68" t="n">
        <v>368386789</v>
      </c>
      <c r="X62" s="67" t="inlineStr">
        <is>
          <t>nil</t>
        </is>
      </c>
      <c r="Y62" s="67" t="inlineStr">
        <is>
          <t>Citizens Bank</t>
        </is>
      </c>
      <c r="Z62" s="68" t="n">
        <v>241070417</v>
      </c>
      <c r="AA62" s="68" t="n">
        <v>4603494946</v>
      </c>
      <c r="AB62" s="67" t="inlineStr">
        <is>
          <t>Good Health</t>
        </is>
      </c>
      <c r="AC62" s="67" t="inlineStr">
        <is>
          <t>No Pills</t>
        </is>
      </c>
      <c r="AD62" s="67" t="inlineStr">
        <is>
          <t>Dr. Peter Vasquez</t>
        </is>
      </c>
      <c r="AE62" s="68" t="n">
        <v>85</v>
      </c>
      <c r="AF62" s="80">
        <f t="array" ref="AF62">IFERROR(_xlfn.LET(_xlpm.rate,INDEX(aflac!$B$2:$E$37,MATCH($AE62,aflac!$A$2:$A$37,0),IF(LOWER(TRIM($F62))="male",IF(LOWER(TRIM($K62))="yes",2,1),IF(LOWER(TRIM($K62))="yes",4,3))),_xlpm.coverage,VALUE(SUBSTITUTE(SUBSTITUTE($S62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2" s="80">
        <f t="array" ref="AG62">IFERROR(_xlfn.LET(_xlpm.rate,INDEX('aflac-modified'!$B$2:$C$32,MATCH($AE62,'aflac-modified'!$A$2:$A$32,0),IF(LOWER(TRIM($F62))="male",1,2)),_xlpm.coverage,VALUE(SUBSTITUTE(SUBSTITUTE($S62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2" s="80">
        <f t="array" ref="AH62">IFERROR(_xlfn.LET(_xlpm.rate,INDEX(SBLI!$B$2:$E$37,MATCH($AE62,SBLI!$A$2:$A$37,0),IF(LOWER(TRIM($F62))="male",IF(LOWER(TRIM($K62))="yes",2,1),IF(LOWER(TRIM($K62))="yes",4,3))),_xlpm.coverage,VALUE(SUBSTITUTE(SUBSTITUTE($S62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2" s="80">
        <f t="array" ref="AI62">IFERROR(_xlfn.LET(_xlpm.rate,INDEX('SBLI-Modified'!$B$2:$E$27,MATCH($AE62,'SBLI-Modified'!$A$2:$A$27,0),IF(LOWER(TRIM($F62))="male",IF(LOWER(TRIM($K62))="yes",2,1),IF(LOWER(TRIM($K62))="yes",4,3))),_xlpm.coverage,VALUE(SUBSTITUTE(SUBSTITUTE($S62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2" s="80">
        <f t="array" ref="AJ62">IFERROR(_xlfn.LET(_xlpm.rate,INDEX(CICA!$B$2:$C$42,MATCH($AE62,CICA!$A$2:$A$42,0),IF(LOWER(TRIM($F62))="male",1,2)),_xlpm.coverage,VALUE(SUBSTITUTE(SUBSTITUTE($S62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2" s="80">
        <f t="array" ref="AK62">IFERROR(_xlfn.LET(_xlpm.rate,INDEX('CICA-GI'!$B$2:$C$47,MATCH($AE62,'CICA-GI'!$A$2:$A$47,0),IF(LOWER(TRIM($F62))="male",1,2)),_xlpm.coverage,VALUE(SUBSTITUTE(SUBSTITUTE($S62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2" s="80">
        <f t="array" ref="AL62">IFERROR(_xlfn.LET(_xlpm.rate,INDEX(gtl!$B$2:$C$52,MATCH($AE62,gtl!$A$2:$A$52,0),IF(LOWER(TRIM($F62))="male",1,2)),_xlpm.coverage,VALUE(SUBSTITUTE(SUBSTITUTE($S62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2" s="80">
        <f t="array" ref="AM62">IFERROR(_xlfn.LET(_xlpm.rate,INDEX(TransAmerica!$B$2:$E$69,MATCH($AE62,TransAmerica!$A$2:$A$69,0),IF(LOWER(TRIM($F62))="male",IF(LOWER(TRIM($K62))="yes",2,1),IF(LOWER(TRIM($K62))="yes",4,3))),_xlpm.coverage,VALUE(SUBSTITUTE(SUBSTITUTE($S62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2" s="80">
        <f t="array" ref="AN62">IFERROR(_xlfn.LET(_xlpm.rate,INDEX('TransAmerica Graded'!$B$2:$E$64,MATCH($AE62,'TransAmerica Graded'!$A$2:$A$64,0),IF(LOWER(TRIM($F62))="male",IF(LOWER(TRIM($K62))="yes",2,1),IF(LOWER(TRIM($K62))="yes",4,3))),_xlpm.coverage,VALUE(SUBSTITUTE(SUBSTITUTE($S62,"$",""),",","")),_xlpm.base,_xlpm.rate*(_xlpm.coverage/1000),_xlpm.fee,_xlfn.XLOOKUP("TransAmerica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2" s="80">
        <f t="array" ref="AO62">IFERROR(_xlfn.LET(_xlpm.rate,INDEX(Corebridge!$B$2:$C$32,MATCH($AE62,Corebridge!$A$2:$A$32,0),IF(LOWER(TRIM($F62))="male",1,2)),_xlpm.coverage,VALUE(SUBSTITUTE(SUBSTITUTE($S62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2" s="80">
        <f t="array" ref="AP62">IFERROR(_xlfn.LET(_xlpm.rate,INDEX(amam!$B$2:$E$37,MATCH($AE62,amam!$A$2:$A$37,0),IF(LOWER(TRIM($F62))="male",IF(LOWER(TRIM($K62))="yes",2,1),IF(LOWER(TRIM($K62))="yes",4,3))),_xlpm.coverage,VALUE(SUBSTITUTE(SUBSTITUTE($S62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2" s="80">
        <f t="array" ref="AQ62">IFERROR(_xlfn.LET(_xlpm.rate,INDEX('amam-graded'!$B$2:$E$37,MATCH($AE62,'amam-graded'!$A$2:$A$37,0),IF(LOWER(TRIM($F62))="male",IF(LOWER(TRIM($K62))="yes",2,1),IF(LOWER(TRIM($K62))="yes",4,3))),_xlpm.coverage,VALUE(SUBSTITUTE(SUBSTITUTE($S62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2" s="80">
        <f t="array" ref="AR62">IFERROR(_xlfn.LET(_xlpm.rate,INDEX('amam-return-or-premium'!$B$2:$E$37,MATCH($AE62,'amam-return-or-premium'!$A$2:$A$37,0),IF(LOWER(TRIM($F62))="male",IF(LOWER(TRIM($K62))="yes",2,1),IF(LOWER(TRIM($K62))="yes",4,3))),_xlpm.coverage,VALUE(SUBSTITUTE(SUBSTITUTE($S62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2" s="80">
        <f t="array" ref="AS62">IFERROR(_xlfn.LET(_xlpm.rate,INDEX(AHL!$B$2:$E$37,MATCH($AE62,AHL!$A$2:$A$37,0),IF(LOWER(TRIM($F62))="male",IF(LOWER(TRIM($K62))="yes",2,1),IF(LOWER(TRIM($K62))="yes",4,3))),_xlpm.coverage,VALUE(SUBSTITUTE(SUBSTITUTE($S62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2" s="80">
        <f t="array" ref="AT62">IFERROR(_xlfn.LET(_xlpm.rate,INDEX('AHL-Graded'!$B$2:$E$32,MATCH($AE62,'AHL-Graded'!$A$2:$A$32,0),IF(LOWER(TRIM($F62))="male",IF(LOWER(TRIM($K62))="yes",2,1),IF(LOWER(TRIM($K62))="yes",4,3))),_xlpm.coverage,VALUE(SUBSTITUTE(SUBSTITUTE($S62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2" s="80">
        <f t="array" ref="AU62">IFERROR(_xlfn.LET(_xlpm.rate,INDEX('Royal Neighbors'!$B$2:$E$37,MATCH($AE62,'Royal Neighbors'!$A$2:$A$37,0),IF(LOWER(TRIM($F62))="male",IF(LOWER(TRIM($K62))="yes",2,1),IF(LOWER(TRIM($K62))="yes",4,3))),_xlpm.coverage,VALUE(SUBSTITUTE(SUBSTITUTE($S62,"$",""),",","")),_xlpm.base,_xlpm.rate*(_xlpm.coverage/1000),_xlpm.fee,_xlfn.XLOOKUP("Royal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2" s="80">
        <f t="array" ref="AV62">IFERROR(_xlfn.LET(_xlpm.rate,INDEX('Royal Neighbors-Graded'!$B$2:$E$37,MATCH($AE62,'Royal Neighbors-Graded'!$A$2:$A$37,0),IF(LOWER(TRIM($F62))="male",IF(LOWER(TRIM($K62))="yes",2,1),IF(LOWER(TRIM($K62))="yes",4,3))),_xlpm.coverage,VALUE(SUBSTITUTE(SUBSTITUTE($S62,"$",""),",","")),_xlpm.base,_xlpm.rate*(_xlpm.coverage/1000),_xlpm.fee,_xlfn.XLOOKUP("Royal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2" s="80">
        <f t="array" ref="AW62">IFERROR(_xlfn.LET(_xlpm.rate,INDEX('Gerber-GI'!$B$2:$C$32,MATCH($AE62,'Gerber-GI'!$A$2:$A$32,0),IF(LOWER(TRIM($F62))="male",1,2)),_xlpm.coverage,VALUE(SUBSTITUTE(SUBSTITUTE($S62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2" s="80">
        <f t="array" ref="AX62">IFERROR(_xlfn.LET(_xlpm.rate,INDEX('Mutual of Omaha'!$B$2:$E$42,MATCH($AE62,'Mutual of Omaha'!$A$2:$A$42,0),IF(LOWER(TRIM($F62))="male",IF(LOWER(TRIM($K62))="yes",2,1),IF(LOWER(TRIM($K62))="yes",4,3))),_xlpm.coverage,VALUE(SUBSTITUTE(SUBSTITUTE($S62,"$",""),",","")),_xlpm.base,_xlpm.rate*(_xlpm.coverage/1000),_xlpm.fee,_xlfn.XLOOKUP("Mutal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2" s="80">
        <f t="array" ref="AY62">IFERROR(_xlfn.LET(_xlpm.rate,INDEX('Mutual of Omaha-Graded'!$B$2:$E$37,MATCH($AE62,'Mutual of Omaha-Graded'!$A$2:$A$37,0),IF(LOWER(TRIM($F62))="male",IF(LOWER(TRIM($K62))="yes",2,1),IF(LOWER(TRIM($K62))="yes",4,3))),_xlpm.coverage,VALUE(SUBSTITUTE(SUBSTITUTE($S62,"$",""),",","")),_xlpm.base,_xlpm.rate*(_xlpm.coverage/1000),_xlpm.fee,_xlfn.XLOOKUP("Mutual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2" s="80">
        <f>AP62</f>
        <v/>
      </c>
      <c r="BA62" s="80">
        <f>IFERROR(IF(AND(AP62&gt;0,AP62&lt;VALUE(SUBSTITUTE(SUBSTITUTE($T62,"$",""),",",""))),VALUE(SUBSTITUTE(SUBSTITUTE($T62,"$",""),",",""))-AP62,""),"")</f>
        <v/>
      </c>
      <c r="BB62" s="80">
        <f>AL62</f>
        <v/>
      </c>
      <c r="BC62" s="80">
        <f>IFERROR(IF(AND(AL62&gt;0,AL62&lt;VALUE(SUBSTITUTE(SUBSTITUTE($T62,"$",""),",",""))),VALUE(SUBSTITUTE(SUBSTITUTE($T62,"$",""),",",""))-AL62,""),"")</f>
        <v/>
      </c>
      <c r="BD62">
        <f t="array" ref="BD62">IFERROR(_xlfn.LET(_xlpm.current,VALUE(SUBSTITUTE(SUBSTITUTE($T62,"$",""),",","")),_xlpm.quotes,AF62:AY62,_xlpm.lowest,_xlfn.MINIFS(_xlpm.quotes,_xlpm.quotes,"&lt;"&amp;_xlpm.current,_xlpm.quotes,"&gt;0"),IF(_xlpm.lowest="","",SUBSTITUTE(INDEX($AF$1:$AY$1,1,MATCH(_xlpm.lowest,_xlpm.quotes,0))," Monthly Quote",""))),"")</f>
        <v/>
      </c>
      <c r="BE62" s="80">
        <f t="array" ref="BE62">IFERROR(_xlfn.LET(_xlpm.current,VALUE(SUBSTITUTE(SUBSTITUTE($T62,"$",""),",","")),_xlpm.quotes,AF62:AY62,_xlpm.lowest,_xlfn.MINIFS(_xlpm.quotes,_xlpm.quotes,"&lt;"&amp;_xlpm.current,_xlpm.quotes,"&gt;0"),IF(_xlpm.lowest="","",_xlpm.current-_xlpm.lowest)),"")</f>
        <v/>
      </c>
    </row>
    <row r="63">
      <c r="A63" s="67" t="inlineStr">
        <is>
          <t>Maggie Lee</t>
        </is>
      </c>
      <c r="B63" s="67" t="inlineStr">
        <is>
          <t>Duckwath</t>
        </is>
      </c>
      <c r="C63" s="68" t="n">
        <v>2169210819</v>
      </c>
      <c r="D63" s="68" t="n">
        <v>78</v>
      </c>
      <c r="E63" s="69" t="n">
        <v>17383</v>
      </c>
      <c r="F63" s="67" t="inlineStr">
        <is>
          <t>female</t>
        </is>
      </c>
      <c r="G63" s="67" t="inlineStr">
        <is>
          <t>13816 Edgewood Ave Cleveland, OH 44105</t>
        </is>
      </c>
      <c r="H63" s="67" t="inlineStr">
        <is>
          <t>OH</t>
        </is>
      </c>
      <c r="I63" s="68" t="n">
        <v>5.1</v>
      </c>
      <c r="J63" s="68" t="n">
        <v>170</v>
      </c>
      <c r="K63" s="67" t="inlineStr">
        <is>
          <t>yes</t>
        </is>
      </c>
      <c r="L63" s="67" t="n"/>
      <c r="M63" s="67" t="inlineStr">
        <is>
          <t>cremation</t>
        </is>
      </c>
      <c r="N63" s="67" t="inlineStr">
        <is>
          <t>(Felix Duckwath - 1964)</t>
        </is>
      </c>
      <c r="O63" s="67" t="inlineStr">
        <is>
          <t>Son</t>
        </is>
      </c>
      <c r="P63" s="67" t="inlineStr">
        <is>
          <t>(Sharon Booker - 1966)</t>
        </is>
      </c>
      <c r="Q63" s="67" t="inlineStr">
        <is>
          <t>Daughter</t>
        </is>
      </c>
      <c r="R63" s="67" t="inlineStr">
        <is>
          <t>AHL</t>
        </is>
      </c>
      <c r="S63" s="70" t="n">
        <v>5000</v>
      </c>
      <c r="T63" s="71" t="n">
        <v>73.19</v>
      </c>
      <c r="U63" s="69" t="n">
        <v>45973</v>
      </c>
      <c r="V63" s="69" t="n">
        <v>46003</v>
      </c>
      <c r="W63" s="68" t="n">
        <v>429907889</v>
      </c>
      <c r="X63" s="67" t="inlineStr">
        <is>
          <t>no</t>
        </is>
      </c>
      <c r="Y63" s="67" t="inlineStr">
        <is>
          <t>Fifth Third Bank</t>
        </is>
      </c>
      <c r="Z63" s="68" t="n">
        <v>41002711</v>
      </c>
      <c r="AA63" s="68" t="n">
        <v>7523328990</v>
      </c>
      <c r="AB63" s="67" t="inlineStr">
        <is>
          <t>No</t>
        </is>
      </c>
      <c r="AC63" s="67" t="inlineStr">
        <is>
          <t>No</t>
        </is>
      </c>
      <c r="AD63" s="67" t="inlineStr">
        <is>
          <t>No</t>
        </is>
      </c>
      <c r="AE63" s="68" t="n">
        <v>78</v>
      </c>
      <c r="AF63" s="80">
        <f t="array" ref="AF63">IFERROR(_xlfn.LET(_xlpm.rate,INDEX(aflac!$B$2:$E$37,MATCH($AE63,aflac!$A$2:$A$37,0),IF(LOWER(TRIM($F63))="male",IF(LOWER(TRIM($K63))="yes",2,1),IF(LOWER(TRIM($K63))="yes",4,3))),_xlpm.coverage,VALUE(SUBSTITUTE(SUBSTITUTE($S63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3" s="80">
        <f t="array" ref="AG63">IFERROR(_xlfn.LET(_xlpm.rate,INDEX('aflac-modified'!$B$2:$C$32,MATCH($AE63,'aflac-modified'!$A$2:$A$32,0),IF(LOWER(TRIM($F63))="male",1,2)),_xlpm.coverage,VALUE(SUBSTITUTE(SUBSTITUTE($S63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3" s="80">
        <f t="array" ref="AH63">IFERROR(_xlfn.LET(_xlpm.rate,INDEX(SBLI!$B$2:$E$37,MATCH($AE63,SBLI!$A$2:$A$37,0),IF(LOWER(TRIM($F63))="male",IF(LOWER(TRIM($K63))="yes",2,1),IF(LOWER(TRIM($K63))="yes",4,3))),_xlpm.coverage,VALUE(SUBSTITUTE(SUBSTITUTE($S63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3" s="80">
        <f t="array" ref="AI63">IFERROR(_xlfn.LET(_xlpm.rate,INDEX('SBLI-Modified'!$B$2:$E$27,MATCH($AE63,'SBLI-Modified'!$A$2:$A$27,0),IF(LOWER(TRIM($F63))="male",IF(LOWER(TRIM($K63))="yes",2,1),IF(LOWER(TRIM($K63))="yes",4,3))),_xlpm.coverage,VALUE(SUBSTITUTE(SUBSTITUTE($S63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3" s="80">
        <f t="array" ref="AJ63">IFERROR(_xlfn.LET(_xlpm.rate,INDEX(CICA!$B$2:$C$42,MATCH($AE63,CICA!$A$2:$A$42,0),IF(LOWER(TRIM($F63))="male",1,2)),_xlpm.coverage,VALUE(SUBSTITUTE(SUBSTITUTE($S63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3" s="80">
        <f t="array" ref="AK63">IFERROR(_xlfn.LET(_xlpm.rate,INDEX('CICA-GI'!$B$2:$C$47,MATCH($AE63,'CICA-GI'!$A$2:$A$47,0),IF(LOWER(TRIM($F63))="male",1,2)),_xlpm.coverage,VALUE(SUBSTITUTE(SUBSTITUTE($S63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3" s="80">
        <f t="array" ref="AL63">IFERROR(_xlfn.LET(_xlpm.rate,INDEX(gtl!$B$2:$C$52,MATCH($AE63,gtl!$A$2:$A$52,0),IF(LOWER(TRIM($F63))="male",1,2)),_xlpm.coverage,VALUE(SUBSTITUTE(SUBSTITUTE($S63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3" s="80">
        <f t="array" ref="AM63">IFERROR(_xlfn.LET(_xlpm.rate,INDEX(TransAmerica!$B$2:$E$69,MATCH($AE63,TransAmerica!$A$2:$A$69,0),IF(LOWER(TRIM($F63))="male",IF(LOWER(TRIM($K63))="yes",2,1),IF(LOWER(TRIM($K63))="yes",4,3))),_xlpm.coverage,VALUE(SUBSTITUTE(SUBSTITUTE($S63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3" s="80">
        <f t="array" ref="AN63">IFERROR(_xlfn.LET(_xlpm.rate,INDEX('TransAmerica Graded'!$B$2:$E$64,MATCH($AE63,'TransAmerica Graded'!$A$2:$A$64,0),IF(LOWER(TRIM($F63))="male",IF(LOWER(TRIM($K63))="yes",2,1),IF(LOWER(TRIM($K63))="yes",4,3))),_xlpm.coverage,VALUE(SUBSTITUTE(SUBSTITUTE($S63,"$",""),",","")),_xlpm.base,_xlpm.rate*(_xlpm.coverage/1000),_xlpm.fee,_xlfn.XLOOKUP("TransAmerica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3" s="80">
        <f t="array" ref="AO63">IFERROR(_xlfn.LET(_xlpm.rate,INDEX(Corebridge!$B$2:$C$32,MATCH($AE63,Corebridge!$A$2:$A$32,0),IF(LOWER(TRIM($F63))="male",1,2)),_xlpm.coverage,VALUE(SUBSTITUTE(SUBSTITUTE($S63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3" s="80">
        <f t="array" ref="AP63">IFERROR(_xlfn.LET(_xlpm.rate,INDEX(amam!$B$2:$E$37,MATCH($AE63,amam!$A$2:$A$37,0),IF(LOWER(TRIM($F63))="male",IF(LOWER(TRIM($K63))="yes",2,1),IF(LOWER(TRIM($K63))="yes",4,3))),_xlpm.coverage,VALUE(SUBSTITUTE(SUBSTITUTE($S63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3" s="80">
        <f t="array" ref="AQ63">IFERROR(_xlfn.LET(_xlpm.rate,INDEX('amam-graded'!$B$2:$E$37,MATCH($AE63,'amam-graded'!$A$2:$A$37,0),IF(LOWER(TRIM($F63))="male",IF(LOWER(TRIM($K63))="yes",2,1),IF(LOWER(TRIM($K63))="yes",4,3))),_xlpm.coverage,VALUE(SUBSTITUTE(SUBSTITUTE($S63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3" s="80">
        <f t="array" ref="AR63">IFERROR(_xlfn.LET(_xlpm.rate,INDEX('amam-return-or-premium'!$B$2:$E$37,MATCH($AE63,'amam-return-or-premium'!$A$2:$A$37,0),IF(LOWER(TRIM($F63))="male",IF(LOWER(TRIM($K63))="yes",2,1),IF(LOWER(TRIM($K63))="yes",4,3))),_xlpm.coverage,VALUE(SUBSTITUTE(SUBSTITUTE($S63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3" s="80">
        <f t="array" ref="AS63">IFERROR(_xlfn.LET(_xlpm.rate,INDEX(AHL!$B$2:$E$37,MATCH($AE63,AHL!$A$2:$A$37,0),IF(LOWER(TRIM($F63))="male",IF(LOWER(TRIM($K63))="yes",2,1),IF(LOWER(TRIM($K63))="yes",4,3))),_xlpm.coverage,VALUE(SUBSTITUTE(SUBSTITUTE($S63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3" s="80">
        <f t="array" ref="AT63">IFERROR(_xlfn.LET(_xlpm.rate,INDEX('AHL-Graded'!$B$2:$E$32,MATCH($AE63,'AHL-Graded'!$A$2:$A$32,0),IF(LOWER(TRIM($F63))="male",IF(LOWER(TRIM($K63))="yes",2,1),IF(LOWER(TRIM($K63))="yes",4,3))),_xlpm.coverage,VALUE(SUBSTITUTE(SUBSTITUTE($S63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3" s="80">
        <f t="array" ref="AU63">IFERROR(_xlfn.LET(_xlpm.rate,INDEX('Royal Neighbors'!$B$2:$E$37,MATCH($AE63,'Royal Neighbors'!$A$2:$A$37,0),IF(LOWER(TRIM($F63))="male",IF(LOWER(TRIM($K63))="yes",2,1),IF(LOWER(TRIM($K63))="yes",4,3))),_xlpm.coverage,VALUE(SUBSTITUTE(SUBSTITUTE($S63,"$",""),",","")),_xlpm.base,_xlpm.rate*(_xlpm.coverage/1000),_xlpm.fee,_xlfn.XLOOKUP("Royal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3" s="80">
        <f t="array" ref="AV63">IFERROR(_xlfn.LET(_xlpm.rate,INDEX('Royal Neighbors-Graded'!$B$2:$E$37,MATCH($AE63,'Royal Neighbors-Graded'!$A$2:$A$37,0),IF(LOWER(TRIM($F63))="male",IF(LOWER(TRIM($K63))="yes",2,1),IF(LOWER(TRIM($K63))="yes",4,3))),_xlpm.coverage,VALUE(SUBSTITUTE(SUBSTITUTE($S63,"$",""),",","")),_xlpm.base,_xlpm.rate*(_xlpm.coverage/1000),_xlpm.fee,_xlfn.XLOOKUP("Royal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3" s="80">
        <f t="array" ref="AW63">IFERROR(_xlfn.LET(_xlpm.rate,INDEX('Gerber-GI'!$B$2:$C$32,MATCH($AE63,'Gerber-GI'!$A$2:$A$32,0),IF(LOWER(TRIM($F63))="male",1,2)),_xlpm.coverage,VALUE(SUBSTITUTE(SUBSTITUTE($S63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3" s="80">
        <f t="array" ref="AX63">IFERROR(_xlfn.LET(_xlpm.rate,INDEX('Mutual of Omaha'!$B$2:$E$42,MATCH($AE63,'Mutual of Omaha'!$A$2:$A$42,0),IF(LOWER(TRIM($F63))="male",IF(LOWER(TRIM($K63))="yes",2,1),IF(LOWER(TRIM($K63))="yes",4,3))),_xlpm.coverage,VALUE(SUBSTITUTE(SUBSTITUTE($S63,"$",""),",","")),_xlpm.base,_xlpm.rate*(_xlpm.coverage/1000),_xlpm.fee,_xlfn.XLOOKUP("Mutal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3" s="80">
        <f t="array" ref="AY63">IFERROR(_xlfn.LET(_xlpm.rate,INDEX('Mutual of Omaha-Graded'!$B$2:$E$37,MATCH($AE63,'Mutual of Omaha-Graded'!$A$2:$A$37,0),IF(LOWER(TRIM($F63))="male",IF(LOWER(TRIM($K63))="yes",2,1),IF(LOWER(TRIM($K63))="yes",4,3))),_xlpm.coverage,VALUE(SUBSTITUTE(SUBSTITUTE($S63,"$",""),",","")),_xlpm.base,_xlpm.rate*(_xlpm.coverage/1000),_xlpm.fee,_xlfn.XLOOKUP("Mutual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3" s="80">
        <f>AP63</f>
        <v/>
      </c>
      <c r="BA63" s="80">
        <f>IFERROR(IF(AND(AP63&gt;0,AP63&lt;VALUE(SUBSTITUTE(SUBSTITUTE($T63,"$",""),",",""))),VALUE(SUBSTITUTE(SUBSTITUTE($T63,"$",""),",",""))-AP63,""),"")</f>
        <v/>
      </c>
      <c r="BB63" s="80">
        <f>AL63</f>
        <v/>
      </c>
      <c r="BC63" s="80">
        <f>IFERROR(IF(AND(AL63&gt;0,AL63&lt;VALUE(SUBSTITUTE(SUBSTITUTE($T63,"$",""),",",""))),VALUE(SUBSTITUTE(SUBSTITUTE($T63,"$",""),",",""))-AL63,""),"")</f>
        <v/>
      </c>
      <c r="BD63">
        <f t="array" ref="BD63">IFERROR(_xlfn.LET(_xlpm.current,VALUE(SUBSTITUTE(SUBSTITUTE($T63,"$",""),",","")),_xlpm.quotes,AF63:AY63,_xlpm.lowest,_xlfn.MINIFS(_xlpm.quotes,_xlpm.quotes,"&lt;"&amp;_xlpm.current,_xlpm.quotes,"&gt;0"),IF(_xlpm.lowest="","",SUBSTITUTE(INDEX($AF$1:$AY$1,1,MATCH(_xlpm.lowest,_xlpm.quotes,0))," Monthly Quote",""))),"")</f>
        <v/>
      </c>
      <c r="BE63" s="80">
        <f t="array" ref="BE63">IFERROR(_xlfn.LET(_xlpm.current,VALUE(SUBSTITUTE(SUBSTITUTE($T63,"$",""),",","")),_xlpm.quotes,AF63:AY63,_xlpm.lowest,_xlfn.MINIFS(_xlpm.quotes,_xlpm.quotes,"&lt;"&amp;_xlpm.current,_xlpm.quotes,"&gt;0"),IF(_xlpm.lowest="","",_xlpm.current-_xlpm.lowest)),"")</f>
        <v/>
      </c>
    </row>
    <row r="64">
      <c r="A64" s="67" t="inlineStr">
        <is>
          <t>James A</t>
        </is>
      </c>
      <c r="B64" s="67" t="inlineStr">
        <is>
          <t>Pitt</t>
        </is>
      </c>
      <c r="C64" s="68" t="n">
        <v>3018411964</v>
      </c>
      <c r="D64" s="68" t="n">
        <v>79</v>
      </c>
      <c r="E64" s="69" t="n">
        <v>16911</v>
      </c>
      <c r="F64" s="67" t="inlineStr">
        <is>
          <t>Male</t>
        </is>
      </c>
      <c r="G64" s="67" t="inlineStr">
        <is>
          <t>8700 Jones Mill Rd Chevy Chase, MD 20815</t>
        </is>
      </c>
      <c r="H64" s="67" t="inlineStr">
        <is>
          <t>NC</t>
        </is>
      </c>
      <c r="I64" s="68" t="n">
        <v>5.6</v>
      </c>
      <c r="J64" s="68" t="n">
        <v>195</v>
      </c>
      <c r="K64" s="67" t="inlineStr">
        <is>
          <t>No</t>
        </is>
      </c>
      <c r="L64" s="67" t="inlineStr">
        <is>
          <t>.</t>
        </is>
      </c>
      <c r="M64" s="67" t="inlineStr">
        <is>
          <t>Cremation</t>
        </is>
      </c>
      <c r="N64" s="67" t="inlineStr">
        <is>
          <t>James T Pitt: 12/08/1970</t>
        </is>
      </c>
      <c r="O64" s="67" t="inlineStr">
        <is>
          <t>Son</t>
        </is>
      </c>
      <c r="P64" s="67" t="inlineStr">
        <is>
          <t>Jeannette Pitt : 12/03/1974</t>
        </is>
      </c>
      <c r="Q64" s="67" t="inlineStr">
        <is>
          <t>Duaghter</t>
        </is>
      </c>
      <c r="R64" s="67" t="inlineStr">
        <is>
          <t>AHL</t>
        </is>
      </c>
      <c r="S64" s="70" t="n">
        <v>5000</v>
      </c>
      <c r="T64" s="74" t="n">
        <v>67.65000000000001</v>
      </c>
      <c r="U64" s="69" t="n">
        <v>45994</v>
      </c>
      <c r="V64" s="69" t="n">
        <v>46025</v>
      </c>
      <c r="W64" s="68" t="n">
        <v>237723089</v>
      </c>
      <c r="X64" s="67" t="inlineStr">
        <is>
          <t>nil</t>
        </is>
      </c>
      <c r="Y64" s="67" t="inlineStr">
        <is>
          <t>Capital One Bank</t>
        </is>
      </c>
      <c r="Z64" s="68" t="n">
        <v>31176110</v>
      </c>
      <c r="AA64" s="68" t="n">
        <v>1540740848</v>
      </c>
      <c r="AB64" s="67" t="inlineStr">
        <is>
          <t>HBP chelostrol</t>
        </is>
      </c>
      <c r="AC64" s="67" t="inlineStr">
        <is>
          <t>3 pills</t>
        </is>
      </c>
      <c r="AD64" s="67" t="inlineStr">
        <is>
          <t>Dr. James Xu</t>
        </is>
      </c>
      <c r="AE64" s="68" t="n">
        <v>80</v>
      </c>
      <c r="AF64" s="80">
        <f t="array" ref="AF64">IFERROR(_xlfn.LET(_xlpm.rate,INDEX(aflac!$B$2:$E$37,MATCH($AE64,aflac!$A$2:$A$37,0),IF(LOWER(TRIM($F64))="male",IF(LOWER(TRIM($K64))="yes",2,1),IF(LOWER(TRIM($K64))="yes",4,3))),_xlpm.coverage,VALUE(SUBSTITUTE(SUBSTITUTE($S64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4" s="80">
        <f t="array" ref="AG64">IFERROR(_xlfn.LET(_xlpm.rate,INDEX('aflac-modified'!$B$2:$C$32,MATCH($AE64,'aflac-modified'!$A$2:$A$32,0),IF(LOWER(TRIM($F64))="male",1,2)),_xlpm.coverage,VALUE(SUBSTITUTE(SUBSTITUTE($S64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4" s="80">
        <f t="array" ref="AH64">IFERROR(_xlfn.LET(_xlpm.rate,INDEX(SBLI!$B$2:$E$37,MATCH($AE64,SBLI!$A$2:$A$37,0),IF(LOWER(TRIM($F64))="male",IF(LOWER(TRIM($K64))="yes",2,1),IF(LOWER(TRIM($K64))="yes",4,3))),_xlpm.coverage,VALUE(SUBSTITUTE(SUBSTITUTE($S64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4" s="80">
        <f t="array" ref="AI64">IFERROR(_xlfn.LET(_xlpm.rate,INDEX('SBLI-Modified'!$B$2:$E$27,MATCH($AE64,'SBLI-Modified'!$A$2:$A$27,0),IF(LOWER(TRIM($F64))="male",IF(LOWER(TRIM($K64))="yes",2,1),IF(LOWER(TRIM($K64))="yes",4,3))),_xlpm.coverage,VALUE(SUBSTITUTE(SUBSTITUTE($S64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4" s="80">
        <f t="array" ref="AJ64">IFERROR(_xlfn.LET(_xlpm.rate,INDEX(CICA!$B$2:$C$42,MATCH($AE64,CICA!$A$2:$A$42,0),IF(LOWER(TRIM($F64))="male",1,2)),_xlpm.coverage,VALUE(SUBSTITUTE(SUBSTITUTE($S64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4" s="80">
        <f t="array" ref="AK64">IFERROR(_xlfn.LET(_xlpm.rate,INDEX('CICA-GI'!$B$2:$C$47,MATCH($AE64,'CICA-GI'!$A$2:$A$47,0),IF(LOWER(TRIM($F64))="male",1,2)),_xlpm.coverage,VALUE(SUBSTITUTE(SUBSTITUTE($S64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4" s="80">
        <f t="array" ref="AL64">IFERROR(_xlfn.LET(_xlpm.rate,INDEX(gtl!$B$2:$C$52,MATCH($AE64,gtl!$A$2:$A$52,0),IF(LOWER(TRIM($F64))="male",1,2)),_xlpm.coverage,VALUE(SUBSTITUTE(SUBSTITUTE($S64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4" s="80">
        <f t="array" ref="AM64">IFERROR(_xlfn.LET(_xlpm.rate,INDEX(TransAmerica!$B$2:$E$69,MATCH($AE64,TransAmerica!$A$2:$A$69,0),IF(LOWER(TRIM($F64))="male",IF(LOWER(TRIM($K64))="yes",2,1),IF(LOWER(TRIM($K64))="yes",4,3))),_xlpm.coverage,VALUE(SUBSTITUTE(SUBSTITUTE($S64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4" s="80">
        <f t="array" ref="AN64">IFERROR(_xlfn.LET(_xlpm.rate,INDEX('TransAmerica Graded'!$B$2:$E$64,MATCH($AE64,'TransAmerica Graded'!$A$2:$A$64,0),IF(LOWER(TRIM($F64))="male",IF(LOWER(TRIM($K64))="yes",2,1),IF(LOWER(TRIM($K64))="yes",4,3))),_xlpm.coverage,VALUE(SUBSTITUTE(SUBSTITUTE($S64,"$",""),",","")),_xlpm.base,_xlpm.rate*(_xlpm.coverage/1000),_xlpm.fee,_xlfn.XLOOKUP("TransAmerica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4" s="80">
        <f t="array" ref="AO64">IFERROR(_xlfn.LET(_xlpm.rate,INDEX(Corebridge!$B$2:$C$32,MATCH($AE64,Corebridge!$A$2:$A$32,0),IF(LOWER(TRIM($F64))="male",1,2)),_xlpm.coverage,VALUE(SUBSTITUTE(SUBSTITUTE($S64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4" s="80">
        <f t="array" ref="AP64">IFERROR(_xlfn.LET(_xlpm.rate,INDEX(amam!$B$2:$E$37,MATCH($AE64,amam!$A$2:$A$37,0),IF(LOWER(TRIM($F64))="male",IF(LOWER(TRIM($K64))="yes",2,1),IF(LOWER(TRIM($K64))="yes",4,3))),_xlpm.coverage,VALUE(SUBSTITUTE(SUBSTITUTE($S64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4" s="80">
        <f t="array" ref="AQ64">IFERROR(_xlfn.LET(_xlpm.rate,INDEX('amam-graded'!$B$2:$E$37,MATCH($AE64,'amam-graded'!$A$2:$A$37,0),IF(LOWER(TRIM($F64))="male",IF(LOWER(TRIM($K64))="yes",2,1),IF(LOWER(TRIM($K64))="yes",4,3))),_xlpm.coverage,VALUE(SUBSTITUTE(SUBSTITUTE($S64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4" s="80">
        <f t="array" ref="AR64">IFERROR(_xlfn.LET(_xlpm.rate,INDEX('amam-return-or-premium'!$B$2:$E$37,MATCH($AE64,'amam-return-or-premium'!$A$2:$A$37,0),IF(LOWER(TRIM($F64))="male",IF(LOWER(TRIM($K64))="yes",2,1),IF(LOWER(TRIM($K64))="yes",4,3))),_xlpm.coverage,VALUE(SUBSTITUTE(SUBSTITUTE($S64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4" s="80">
        <f t="array" ref="AS64">IFERROR(_xlfn.LET(_xlpm.rate,INDEX(AHL!$B$2:$E$37,MATCH($AE64,AHL!$A$2:$A$37,0),IF(LOWER(TRIM($F64))="male",IF(LOWER(TRIM($K64))="yes",2,1),IF(LOWER(TRIM($K64))="yes",4,3))),_xlpm.coverage,VALUE(SUBSTITUTE(SUBSTITUTE($S64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4" s="80">
        <f t="array" ref="AT64">IFERROR(_xlfn.LET(_xlpm.rate,INDEX('AHL-Graded'!$B$2:$E$32,MATCH($AE64,'AHL-Graded'!$A$2:$A$32,0),IF(LOWER(TRIM($F64))="male",IF(LOWER(TRIM($K64))="yes",2,1),IF(LOWER(TRIM($K64))="yes",4,3))),_xlpm.coverage,VALUE(SUBSTITUTE(SUBSTITUTE($S64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4" s="80">
        <f t="array" ref="AU64">IFERROR(_xlfn.LET(_xlpm.rate,INDEX('Royal Neighbors'!$B$2:$E$37,MATCH($AE64,'Royal Neighbors'!$A$2:$A$37,0),IF(LOWER(TRIM($F64))="male",IF(LOWER(TRIM($K64))="yes",2,1),IF(LOWER(TRIM($K64))="yes",4,3))),_xlpm.coverage,VALUE(SUBSTITUTE(SUBSTITUTE($S64,"$",""),",","")),_xlpm.base,_xlpm.rate*(_xlpm.coverage/1000),_xlpm.fee,_xlfn.XLOOKUP("Royal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4" s="80">
        <f t="array" ref="AV64">IFERROR(_xlfn.LET(_xlpm.rate,INDEX('Royal Neighbors-Graded'!$B$2:$E$37,MATCH($AE64,'Royal Neighbors-Graded'!$A$2:$A$37,0),IF(LOWER(TRIM($F64))="male",IF(LOWER(TRIM($K64))="yes",2,1),IF(LOWER(TRIM($K64))="yes",4,3))),_xlpm.coverage,VALUE(SUBSTITUTE(SUBSTITUTE($S64,"$",""),",","")),_xlpm.base,_xlpm.rate*(_xlpm.coverage/1000),_xlpm.fee,_xlfn.XLOOKUP("Royal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4" s="80">
        <f t="array" ref="AW64">IFERROR(_xlfn.LET(_xlpm.rate,INDEX('Gerber-GI'!$B$2:$C$32,MATCH($AE64,'Gerber-GI'!$A$2:$A$32,0),IF(LOWER(TRIM($F64))="male",1,2)),_xlpm.coverage,VALUE(SUBSTITUTE(SUBSTITUTE($S64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4" s="80">
        <f t="array" ref="AX64">IFERROR(_xlfn.LET(_xlpm.rate,INDEX('Mutual of Omaha'!$B$2:$E$42,MATCH($AE64,'Mutual of Omaha'!$A$2:$A$42,0),IF(LOWER(TRIM($F64))="male",IF(LOWER(TRIM($K64))="yes",2,1),IF(LOWER(TRIM($K64))="yes",4,3))),_xlpm.coverage,VALUE(SUBSTITUTE(SUBSTITUTE($S64,"$",""),",","")),_xlpm.base,_xlpm.rate*(_xlpm.coverage/1000),_xlpm.fee,_xlfn.XLOOKUP("Mutal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4" s="80">
        <f t="array" ref="AY64">IFERROR(_xlfn.LET(_xlpm.rate,INDEX('Mutual of Omaha-Graded'!$B$2:$E$37,MATCH($AE64,'Mutual of Omaha-Graded'!$A$2:$A$37,0),IF(LOWER(TRIM($F64))="male",IF(LOWER(TRIM($K64))="yes",2,1),IF(LOWER(TRIM($K64))="yes",4,3))),_xlpm.coverage,VALUE(SUBSTITUTE(SUBSTITUTE($S64,"$",""),",","")),_xlpm.base,_xlpm.rate*(_xlpm.coverage/1000),_xlpm.fee,_xlfn.XLOOKUP("Mutual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4" s="80">
        <f>AP64</f>
        <v/>
      </c>
      <c r="BA64" s="80">
        <f>IFERROR(IF(AND(AP64&gt;0,AP64&lt;VALUE(SUBSTITUTE(SUBSTITUTE($T64,"$",""),",",""))),VALUE(SUBSTITUTE(SUBSTITUTE($T64,"$",""),",",""))-AP64,""),"")</f>
        <v/>
      </c>
      <c r="BB64" s="80">
        <f>AL64</f>
        <v/>
      </c>
      <c r="BC64" s="80">
        <f>IFERROR(IF(AND(AL64&gt;0,AL64&lt;VALUE(SUBSTITUTE(SUBSTITUTE($T64,"$",""),",",""))),VALUE(SUBSTITUTE(SUBSTITUTE($T64,"$",""),",",""))-AL64,""),"")</f>
        <v/>
      </c>
      <c r="BD64">
        <f t="array" ref="BD64">IFERROR(_xlfn.LET(_xlpm.current,VALUE(SUBSTITUTE(SUBSTITUTE($T64,"$",""),",","")),_xlpm.quotes,AF64:AY64,_xlpm.lowest,_xlfn.MINIFS(_xlpm.quotes,_xlpm.quotes,"&lt;"&amp;_xlpm.current,_xlpm.quotes,"&gt;0"),IF(_xlpm.lowest="","",SUBSTITUTE(INDEX($AF$1:$AY$1,1,MATCH(_xlpm.lowest,_xlpm.quotes,0))," Monthly Quote",""))),"")</f>
        <v/>
      </c>
      <c r="BE64" s="80">
        <f t="array" ref="BE64">IFERROR(_xlfn.LET(_xlpm.current,VALUE(SUBSTITUTE(SUBSTITUTE($T64,"$",""),",","")),_xlpm.quotes,AF64:AY64,_xlpm.lowest,_xlfn.MINIFS(_xlpm.quotes,_xlpm.quotes,"&lt;"&amp;_xlpm.current,_xlpm.quotes,"&gt;0"),IF(_xlpm.lowest="","",_xlpm.current-_xlpm.lowest)),"")</f>
        <v/>
      </c>
    </row>
    <row r="65">
      <c r="A65" s="67" t="inlineStr">
        <is>
          <t>Nancy J</t>
        </is>
      </c>
      <c r="B65" s="67" t="inlineStr">
        <is>
          <t>Mulvin</t>
        </is>
      </c>
      <c r="C65" s="68" t="n">
        <v>8144934837</v>
      </c>
      <c r="D65" s="68" t="n">
        <v>74</v>
      </c>
      <c r="E65" s="69" t="n">
        <v>18720</v>
      </c>
      <c r="F65" s="67" t="inlineStr">
        <is>
          <t>Female</t>
        </is>
      </c>
      <c r="G65" s="67" t="inlineStr">
        <is>
          <t>17715 Burrows Rd, Pleasantville, PA 16341</t>
        </is>
      </c>
      <c r="H65" s="67" t="inlineStr">
        <is>
          <t>PA</t>
        </is>
      </c>
      <c r="I65" s="68" t="n">
        <v>5.3</v>
      </c>
      <c r="J65" s="68" t="n">
        <v>145</v>
      </c>
      <c r="K65" s="67" t="inlineStr">
        <is>
          <t>No</t>
        </is>
      </c>
      <c r="L65" s="67" t="inlineStr">
        <is>
          <t>.</t>
        </is>
      </c>
      <c r="M65" s="67" t="inlineStr">
        <is>
          <t>Burial</t>
        </is>
      </c>
      <c r="N65" s="67" t="inlineStr">
        <is>
          <t>Steve Right: 12/29/1953</t>
        </is>
      </c>
      <c r="O65" s="67" t="inlineStr">
        <is>
          <t>Brother</t>
        </is>
      </c>
      <c r="P65" s="67" t="inlineStr">
        <is>
          <t>.</t>
        </is>
      </c>
      <c r="Q65" s="67" t="inlineStr">
        <is>
          <t>.</t>
        </is>
      </c>
      <c r="R65" s="67" t="inlineStr">
        <is>
          <t>AHL</t>
        </is>
      </c>
      <c r="S65" s="70" t="n">
        <v>5000</v>
      </c>
      <c r="T65" s="74" t="n">
        <v>37.65</v>
      </c>
      <c r="U65" s="69" t="n">
        <v>46006</v>
      </c>
      <c r="V65" s="69" t="n">
        <v>46037</v>
      </c>
      <c r="W65" s="68" t="n">
        <v>197426610</v>
      </c>
      <c r="X65" s="67" t="inlineStr">
        <is>
          <t>nil</t>
        </is>
      </c>
      <c r="Y65" s="67" t="inlineStr">
        <is>
          <t>Northwest Bank</t>
        </is>
      </c>
      <c r="Z65" s="68" t="n">
        <v>243374218</v>
      </c>
      <c r="AA65" s="68" t="n">
        <v>30107383</v>
      </c>
      <c r="AB65" s="67" t="inlineStr">
        <is>
          <t>Clastrol HBP</t>
        </is>
      </c>
      <c r="AC65" s="67" t="inlineStr">
        <is>
          <t>Clastrol 1 Pills 1 For H B P</t>
        </is>
      </c>
      <c r="AD65" s="67" t="inlineStr">
        <is>
          <t>Dr James Zehner</t>
        </is>
      </c>
      <c r="AE65" s="68" t="n">
        <v>75</v>
      </c>
      <c r="AF65" s="80">
        <f t="array" ref="AF65">IFERROR(_xlfn.LET(_xlpm.rate,INDEX(aflac!$B$2:$E$37,MATCH($AE65,aflac!$A$2:$A$37,0),IF(LOWER(TRIM($F65))="male",IF(LOWER(TRIM($K65))="yes",2,1),IF(LOWER(TRIM($K65))="yes",4,3))),_xlpm.coverage,VALUE(SUBSTITUTE(SUBSTITUTE($S65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5" s="80">
        <f t="array" ref="AG65">IFERROR(_xlfn.LET(_xlpm.rate,INDEX('aflac-modified'!$B$2:$C$32,MATCH($AE65,'aflac-modified'!$A$2:$A$32,0),IF(LOWER(TRIM($F65))="male",1,2)),_xlpm.coverage,VALUE(SUBSTITUTE(SUBSTITUTE($S65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5" s="80">
        <f t="array" ref="AH65">IFERROR(_xlfn.LET(_xlpm.rate,INDEX(SBLI!$B$2:$E$37,MATCH($AE65,SBLI!$A$2:$A$37,0),IF(LOWER(TRIM($F65))="male",IF(LOWER(TRIM($K65))="yes",2,1),IF(LOWER(TRIM($K65))="yes",4,3))),_xlpm.coverage,VALUE(SUBSTITUTE(SUBSTITUTE($S65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5" s="80">
        <f t="array" ref="AI65">IFERROR(_xlfn.LET(_xlpm.rate,INDEX('SBLI-Modified'!$B$2:$E$27,MATCH($AE65,'SBLI-Modified'!$A$2:$A$27,0),IF(LOWER(TRIM($F65))="male",IF(LOWER(TRIM($K65))="yes",2,1),IF(LOWER(TRIM($K65))="yes",4,3))),_xlpm.coverage,VALUE(SUBSTITUTE(SUBSTITUTE($S65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5" s="80">
        <f t="array" ref="AJ65">IFERROR(_xlfn.LET(_xlpm.rate,INDEX(CICA!$B$2:$C$42,MATCH($AE65,CICA!$A$2:$A$42,0),IF(LOWER(TRIM($F65))="male",1,2)),_xlpm.coverage,VALUE(SUBSTITUTE(SUBSTITUTE($S65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5" s="80">
        <f t="array" ref="AK65">IFERROR(_xlfn.LET(_xlpm.rate,INDEX('CICA-GI'!$B$2:$C$47,MATCH($AE65,'CICA-GI'!$A$2:$A$47,0),IF(LOWER(TRIM($F65))="male",1,2)),_xlpm.coverage,VALUE(SUBSTITUTE(SUBSTITUTE($S65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5" s="80">
        <f t="array" ref="AL65">IFERROR(_xlfn.LET(_xlpm.rate,INDEX(gtl!$B$2:$C$52,MATCH($AE65,gtl!$A$2:$A$52,0),IF(LOWER(TRIM($F65))="male",1,2)),_xlpm.coverage,VALUE(SUBSTITUTE(SUBSTITUTE($S65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5" s="80">
        <f t="array" ref="AM65">IFERROR(_xlfn.LET(_xlpm.rate,INDEX(TransAmerica!$B$2:$E$69,MATCH($AE65,TransAmerica!$A$2:$A$69,0),IF(LOWER(TRIM($F65))="male",IF(LOWER(TRIM($K65))="yes",2,1),IF(LOWER(TRIM($K65))="yes",4,3))),_xlpm.coverage,VALUE(SUBSTITUTE(SUBSTITUTE($S65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5" s="80">
        <f t="array" ref="AN65">IFERROR(_xlfn.LET(_xlpm.rate,INDEX('TransAmerica Graded'!$B$2:$E$64,MATCH($AE65,'TransAmerica Graded'!$A$2:$A$64,0),IF(LOWER(TRIM($F65))="male",IF(LOWER(TRIM($K65))="yes",2,1),IF(LOWER(TRIM($K65))="yes",4,3))),_xlpm.coverage,VALUE(SUBSTITUTE(SUBSTITUTE($S65,"$",""),",","")),_xlpm.base,_xlpm.rate*(_xlpm.coverage/1000),_xlpm.fee,_xlfn.XLOOKUP("TransAmerica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5" s="80">
        <f t="array" ref="AO65">IFERROR(_xlfn.LET(_xlpm.rate,INDEX(Corebridge!$B$2:$C$32,MATCH($AE65,Corebridge!$A$2:$A$32,0),IF(LOWER(TRIM($F65))="male",1,2)),_xlpm.coverage,VALUE(SUBSTITUTE(SUBSTITUTE($S65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5" s="80">
        <f t="array" ref="AP65">IFERROR(_xlfn.LET(_xlpm.rate,INDEX(amam!$B$2:$E$37,MATCH($AE65,amam!$A$2:$A$37,0),IF(LOWER(TRIM($F65))="male",IF(LOWER(TRIM($K65))="yes",2,1),IF(LOWER(TRIM($K65))="yes",4,3))),_xlpm.coverage,VALUE(SUBSTITUTE(SUBSTITUTE($S65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5" s="80">
        <f t="array" ref="AQ65">IFERROR(_xlfn.LET(_xlpm.rate,INDEX('amam-graded'!$B$2:$E$37,MATCH($AE65,'amam-graded'!$A$2:$A$37,0),IF(LOWER(TRIM($F65))="male",IF(LOWER(TRIM($K65))="yes",2,1),IF(LOWER(TRIM($K65))="yes",4,3))),_xlpm.coverage,VALUE(SUBSTITUTE(SUBSTITUTE($S65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5" s="80">
        <f t="array" ref="AR65">IFERROR(_xlfn.LET(_xlpm.rate,INDEX('amam-return-or-premium'!$B$2:$E$37,MATCH($AE65,'amam-return-or-premium'!$A$2:$A$37,0),IF(LOWER(TRIM($F65))="male",IF(LOWER(TRIM($K65))="yes",2,1),IF(LOWER(TRIM($K65))="yes",4,3))),_xlpm.coverage,VALUE(SUBSTITUTE(SUBSTITUTE($S65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5" s="80">
        <f t="array" ref="AS65">IFERROR(_xlfn.LET(_xlpm.rate,INDEX(AHL!$B$2:$E$37,MATCH($AE65,AHL!$A$2:$A$37,0),IF(LOWER(TRIM($F65))="male",IF(LOWER(TRIM($K65))="yes",2,1),IF(LOWER(TRIM($K65))="yes",4,3))),_xlpm.coverage,VALUE(SUBSTITUTE(SUBSTITUTE($S65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5" s="80">
        <f t="array" ref="AT65">IFERROR(_xlfn.LET(_xlpm.rate,INDEX('AHL-Graded'!$B$2:$E$32,MATCH($AE65,'AHL-Graded'!$A$2:$A$32,0),IF(LOWER(TRIM($F65))="male",IF(LOWER(TRIM($K65))="yes",2,1),IF(LOWER(TRIM($K65))="yes",4,3))),_xlpm.coverage,VALUE(SUBSTITUTE(SUBSTITUTE($S65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5" s="80">
        <f t="array" ref="AU65">IFERROR(_xlfn.LET(_xlpm.rate,INDEX('Royal Neighbors'!$B$2:$E$37,MATCH($AE65,'Royal Neighbors'!$A$2:$A$37,0),IF(LOWER(TRIM($F65))="male",IF(LOWER(TRIM($K65))="yes",2,1),IF(LOWER(TRIM($K65))="yes",4,3))),_xlpm.coverage,VALUE(SUBSTITUTE(SUBSTITUTE($S65,"$",""),",","")),_xlpm.base,_xlpm.rate*(_xlpm.coverage/1000),_xlpm.fee,_xlfn.XLOOKUP("Royal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5" s="80">
        <f t="array" ref="AV65">IFERROR(_xlfn.LET(_xlpm.rate,INDEX('Royal Neighbors-Graded'!$B$2:$E$37,MATCH($AE65,'Royal Neighbors-Graded'!$A$2:$A$37,0),IF(LOWER(TRIM($F65))="male",IF(LOWER(TRIM($K65))="yes",2,1),IF(LOWER(TRIM($K65))="yes",4,3))),_xlpm.coverage,VALUE(SUBSTITUTE(SUBSTITUTE($S65,"$",""),",","")),_xlpm.base,_xlpm.rate*(_xlpm.coverage/1000),_xlpm.fee,_xlfn.XLOOKUP("Royal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5" s="80">
        <f t="array" ref="AW65">IFERROR(_xlfn.LET(_xlpm.rate,INDEX('Gerber-GI'!$B$2:$C$32,MATCH($AE65,'Gerber-GI'!$A$2:$A$32,0),IF(LOWER(TRIM($F65))="male",1,2)),_xlpm.coverage,VALUE(SUBSTITUTE(SUBSTITUTE($S65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5" s="80">
        <f t="array" ref="AX65">IFERROR(_xlfn.LET(_xlpm.rate,INDEX('Mutual of Omaha'!$B$2:$E$42,MATCH($AE65,'Mutual of Omaha'!$A$2:$A$42,0),IF(LOWER(TRIM($F65))="male",IF(LOWER(TRIM($K65))="yes",2,1),IF(LOWER(TRIM($K65))="yes",4,3))),_xlpm.coverage,VALUE(SUBSTITUTE(SUBSTITUTE($S65,"$",""),",","")),_xlpm.base,_xlpm.rate*(_xlpm.coverage/1000),_xlpm.fee,_xlfn.XLOOKUP("Mutal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5" s="80">
        <f t="array" ref="AY65">IFERROR(_xlfn.LET(_xlpm.rate,INDEX('Mutual of Omaha-Graded'!$B$2:$E$37,MATCH($AE65,'Mutual of Omaha-Graded'!$A$2:$A$37,0),IF(LOWER(TRIM($F65))="male",IF(LOWER(TRIM($K65))="yes",2,1),IF(LOWER(TRIM($K65))="yes",4,3))),_xlpm.coverage,VALUE(SUBSTITUTE(SUBSTITUTE($S65,"$",""),",","")),_xlpm.base,_xlpm.rate*(_xlpm.coverage/1000),_xlpm.fee,_xlfn.XLOOKUP("Mutual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5" s="80">
        <f>AP65</f>
        <v/>
      </c>
      <c r="BA65" s="80">
        <f>IFERROR(IF(AND(AP65&gt;0,AP65&lt;VALUE(SUBSTITUTE(SUBSTITUTE($T65,"$",""),",",""))),VALUE(SUBSTITUTE(SUBSTITUTE($T65,"$",""),",",""))-AP65,""),"")</f>
        <v/>
      </c>
      <c r="BB65" s="80">
        <f>AL65</f>
        <v/>
      </c>
      <c r="BC65" s="80">
        <f>IFERROR(IF(AND(AL65&gt;0,AL65&lt;VALUE(SUBSTITUTE(SUBSTITUTE($T65,"$",""),",",""))),VALUE(SUBSTITUTE(SUBSTITUTE($T65,"$",""),",",""))-AL65,""),"")</f>
        <v/>
      </c>
      <c r="BD65">
        <f t="array" ref="BD65">IFERROR(_xlfn.LET(_xlpm.current,VALUE(SUBSTITUTE(SUBSTITUTE($T65,"$",""),",","")),_xlpm.quotes,AF65:AY65,_xlpm.lowest,_xlfn.MINIFS(_xlpm.quotes,_xlpm.quotes,"&lt;"&amp;_xlpm.current,_xlpm.quotes,"&gt;0"),IF(_xlpm.lowest="","",SUBSTITUTE(INDEX($AF$1:$AY$1,1,MATCH(_xlpm.lowest,_xlpm.quotes,0))," Monthly Quote",""))),"")</f>
        <v/>
      </c>
      <c r="BE65" s="80">
        <f t="array" ref="BE65">IFERROR(_xlfn.LET(_xlpm.current,VALUE(SUBSTITUTE(SUBSTITUTE($T65,"$",""),",","")),_xlpm.quotes,AF65:AY65,_xlpm.lowest,_xlfn.MINIFS(_xlpm.quotes,_xlpm.quotes,"&lt;"&amp;_xlpm.current,_xlpm.quotes,"&gt;0"),IF(_xlpm.lowest="","",_xlpm.current-_xlpm.lowest)),"")</f>
        <v/>
      </c>
    </row>
    <row r="66">
      <c r="A66" s="67" t="inlineStr">
        <is>
          <t>Susanne D</t>
        </is>
      </c>
      <c r="B66" s="67" t="inlineStr">
        <is>
          <t>Nikla</t>
        </is>
      </c>
      <c r="C66" s="68" t="n">
        <v>9419211376</v>
      </c>
      <c r="D66" s="68" t="n">
        <v>80</v>
      </c>
      <c r="E66" s="69" t="n">
        <v>16417</v>
      </c>
      <c r="F66" s="67" t="inlineStr">
        <is>
          <t>Female</t>
        </is>
      </c>
      <c r="G66" s="67" t="inlineStr">
        <is>
          <t>475 Tanager Rd Venice Florida 34293</t>
        </is>
      </c>
      <c r="H66" s="67" t="inlineStr">
        <is>
          <t>OH</t>
        </is>
      </c>
      <c r="I66" s="68" t="n">
        <v>5.6</v>
      </c>
      <c r="J66" s="68" t="n">
        <v>130</v>
      </c>
      <c r="K66" s="67" t="inlineStr">
        <is>
          <t>No</t>
        </is>
      </c>
      <c r="L66" s="67" t="n"/>
      <c r="M66" s="67" t="inlineStr">
        <is>
          <t>Burial</t>
        </is>
      </c>
      <c r="N66" s="67" t="inlineStr">
        <is>
          <t>Joe Tarks</t>
        </is>
      </c>
      <c r="O66" s="67" t="inlineStr">
        <is>
          <t>Friend</t>
        </is>
      </c>
      <c r="P66" s="67" t="n"/>
      <c r="Q66" s="67" t="n"/>
      <c r="R66" s="67" t="inlineStr">
        <is>
          <t>AHL</t>
        </is>
      </c>
      <c r="S66" s="70" t="n">
        <v>4000</v>
      </c>
      <c r="T66" s="68" t="n">
        <v>45.22</v>
      </c>
      <c r="U66" s="69" t="n">
        <v>45994</v>
      </c>
      <c r="V66" s="69" t="n">
        <v>46025</v>
      </c>
      <c r="W66" s="68" t="n">
        <v>279404484</v>
      </c>
      <c r="X66" s="67" t="inlineStr">
        <is>
          <t>N/A</t>
        </is>
      </c>
      <c r="Y66" s="67" t="inlineStr">
        <is>
          <t>TrustCo Bank</t>
        </is>
      </c>
      <c r="Z66" s="68" t="n">
        <v>63192450</v>
      </c>
      <c r="AA66" s="68" t="n">
        <v>4461146824</v>
      </c>
      <c r="AB66" s="67" t="inlineStr">
        <is>
          <t>Nil</t>
        </is>
      </c>
      <c r="AC66" s="67" t="inlineStr">
        <is>
          <t>Nil</t>
        </is>
      </c>
      <c r="AD66" s="67" t="inlineStr">
        <is>
          <t>Nil</t>
        </is>
      </c>
      <c r="AE66" s="68" t="n">
        <v>81</v>
      </c>
      <c r="AF66" s="80">
        <f t="array" ref="AF66">IFERROR(_xlfn.LET(_xlpm.rate,INDEX(aflac!$B$2:$E$37,MATCH($AE66,aflac!$A$2:$A$37,0),IF(LOWER(TRIM($F66))="male",IF(LOWER(TRIM($K66))="yes",2,1),IF(LOWER(TRIM($K66))="yes",4,3))),_xlpm.coverage,VALUE(SUBSTITUTE(SUBSTITUTE($S66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6" s="80">
        <f t="array" ref="AG66">IFERROR(_xlfn.LET(_xlpm.rate,INDEX('aflac-modified'!$B$2:$C$32,MATCH($AE66,'aflac-modified'!$A$2:$A$32,0),IF(LOWER(TRIM($F66))="male",1,2)),_xlpm.coverage,VALUE(SUBSTITUTE(SUBSTITUTE($S66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6" s="80">
        <f t="array" ref="AH66">IFERROR(_xlfn.LET(_xlpm.rate,INDEX(SBLI!$B$2:$E$37,MATCH($AE66,SBLI!$A$2:$A$37,0),IF(LOWER(TRIM($F66))="male",IF(LOWER(TRIM($K66))="yes",2,1),IF(LOWER(TRIM($K66))="yes",4,3))),_xlpm.coverage,VALUE(SUBSTITUTE(SUBSTITUTE($S66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6" s="80">
        <f t="array" ref="AI66">IFERROR(_xlfn.LET(_xlpm.rate,INDEX('SBLI-Modified'!$B$2:$E$27,MATCH($AE66,'SBLI-Modified'!$A$2:$A$27,0),IF(LOWER(TRIM($F66))="male",IF(LOWER(TRIM($K66))="yes",2,1),IF(LOWER(TRIM($K66))="yes",4,3))),_xlpm.coverage,VALUE(SUBSTITUTE(SUBSTITUTE($S66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6" s="80">
        <f t="array" ref="AJ66">IFERROR(_xlfn.LET(_xlpm.rate,INDEX(CICA!$B$2:$C$42,MATCH($AE66,CICA!$A$2:$A$42,0),IF(LOWER(TRIM($F66))="male",1,2)),_xlpm.coverage,VALUE(SUBSTITUTE(SUBSTITUTE($S66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6" s="80">
        <f t="array" ref="AK66">IFERROR(_xlfn.LET(_xlpm.rate,INDEX('CICA-GI'!$B$2:$C$47,MATCH($AE66,'CICA-GI'!$A$2:$A$47,0),IF(LOWER(TRIM($F66))="male",1,2)),_xlpm.coverage,VALUE(SUBSTITUTE(SUBSTITUTE($S66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6" s="80">
        <f t="array" ref="AL66">IFERROR(_xlfn.LET(_xlpm.rate,INDEX(gtl!$B$2:$C$52,MATCH($AE66,gtl!$A$2:$A$52,0),IF(LOWER(TRIM($F66))="male",1,2)),_xlpm.coverage,VALUE(SUBSTITUTE(SUBSTITUTE($S66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6" s="80">
        <f t="array" ref="AM66">IFERROR(_xlfn.LET(_xlpm.rate,INDEX(TransAmerica!$B$2:$E$69,MATCH($AE66,TransAmerica!$A$2:$A$69,0),IF(LOWER(TRIM($F66))="male",IF(LOWER(TRIM($K66))="yes",2,1),IF(LOWER(TRIM($K66))="yes",4,3))),_xlpm.coverage,VALUE(SUBSTITUTE(SUBSTITUTE($S66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6" s="80">
        <f t="array" ref="AN66">IFERROR(_xlfn.LET(_xlpm.rate,INDEX('TransAmerica Graded'!$B$2:$E$64,MATCH($AE66,'TransAmerica Graded'!$A$2:$A$64,0),IF(LOWER(TRIM($F66))="male",IF(LOWER(TRIM($K66))="yes",2,1),IF(LOWER(TRIM($K66))="yes",4,3))),_xlpm.coverage,VALUE(SUBSTITUTE(SUBSTITUTE($S66,"$",""),",","")),_xlpm.base,_xlpm.rate*(_xlpm.coverage/1000),_xlpm.fee,_xlfn.XLOOKUP("TransAmerica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6" s="80">
        <f t="array" ref="AO66">IFERROR(_xlfn.LET(_xlpm.rate,INDEX(Corebridge!$B$2:$C$32,MATCH($AE66,Corebridge!$A$2:$A$32,0),IF(LOWER(TRIM($F66))="male",1,2)),_xlpm.coverage,VALUE(SUBSTITUTE(SUBSTITUTE($S66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6" s="80">
        <f t="array" ref="AP66">IFERROR(_xlfn.LET(_xlpm.rate,INDEX(amam!$B$2:$E$37,MATCH($AE66,amam!$A$2:$A$37,0),IF(LOWER(TRIM($F66))="male",IF(LOWER(TRIM($K66))="yes",2,1),IF(LOWER(TRIM($K66))="yes",4,3))),_xlpm.coverage,VALUE(SUBSTITUTE(SUBSTITUTE($S66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6" s="80">
        <f t="array" ref="AQ66">IFERROR(_xlfn.LET(_xlpm.rate,INDEX('amam-graded'!$B$2:$E$37,MATCH($AE66,'amam-graded'!$A$2:$A$37,0),IF(LOWER(TRIM($F66))="male",IF(LOWER(TRIM($K66))="yes",2,1),IF(LOWER(TRIM($K66))="yes",4,3))),_xlpm.coverage,VALUE(SUBSTITUTE(SUBSTITUTE($S66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6" s="80">
        <f t="array" ref="AR66">IFERROR(_xlfn.LET(_xlpm.rate,INDEX('amam-return-or-premium'!$B$2:$E$37,MATCH($AE66,'amam-return-or-premium'!$A$2:$A$37,0),IF(LOWER(TRIM($F66))="male",IF(LOWER(TRIM($K66))="yes",2,1),IF(LOWER(TRIM($K66))="yes",4,3))),_xlpm.coverage,VALUE(SUBSTITUTE(SUBSTITUTE($S66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6" s="80">
        <f t="array" ref="AS66">IFERROR(_xlfn.LET(_xlpm.rate,INDEX(AHL!$B$2:$E$37,MATCH($AE66,AHL!$A$2:$A$37,0),IF(LOWER(TRIM($F66))="male",IF(LOWER(TRIM($K66))="yes",2,1),IF(LOWER(TRIM($K66))="yes",4,3))),_xlpm.coverage,VALUE(SUBSTITUTE(SUBSTITUTE($S66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6" s="80">
        <f t="array" ref="AT66">IFERROR(_xlfn.LET(_xlpm.rate,INDEX('AHL-Graded'!$B$2:$E$32,MATCH($AE66,'AHL-Graded'!$A$2:$A$32,0),IF(LOWER(TRIM($F66))="male",IF(LOWER(TRIM($K66))="yes",2,1),IF(LOWER(TRIM($K66))="yes",4,3))),_xlpm.coverage,VALUE(SUBSTITUTE(SUBSTITUTE($S66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6" s="80">
        <f t="array" ref="AU66">IFERROR(_xlfn.LET(_xlpm.rate,INDEX('Royal Neighbors'!$B$2:$E$37,MATCH($AE66,'Royal Neighbors'!$A$2:$A$37,0),IF(LOWER(TRIM($F66))="male",IF(LOWER(TRIM($K66))="yes",2,1),IF(LOWER(TRIM($K66))="yes",4,3))),_xlpm.coverage,VALUE(SUBSTITUTE(SUBSTITUTE($S66,"$",""),",","")),_xlpm.base,_xlpm.rate*(_xlpm.coverage/1000),_xlpm.fee,_xlfn.XLOOKUP("Royal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6" s="80">
        <f t="array" ref="AV66">IFERROR(_xlfn.LET(_xlpm.rate,INDEX('Royal Neighbors-Graded'!$B$2:$E$37,MATCH($AE66,'Royal Neighbors-Graded'!$A$2:$A$37,0),IF(LOWER(TRIM($F66))="male",IF(LOWER(TRIM($K66))="yes",2,1),IF(LOWER(TRIM($K66))="yes",4,3))),_xlpm.coverage,VALUE(SUBSTITUTE(SUBSTITUTE($S66,"$",""),",","")),_xlpm.base,_xlpm.rate*(_xlpm.coverage/1000),_xlpm.fee,_xlfn.XLOOKUP("Royal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6" s="80">
        <f t="array" ref="AW66">IFERROR(_xlfn.LET(_xlpm.rate,INDEX('Gerber-GI'!$B$2:$C$32,MATCH($AE66,'Gerber-GI'!$A$2:$A$32,0),IF(LOWER(TRIM($F66))="male",1,2)),_xlpm.coverage,VALUE(SUBSTITUTE(SUBSTITUTE($S66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6" s="80">
        <f t="array" ref="AX66">IFERROR(_xlfn.LET(_xlpm.rate,INDEX('Mutual of Omaha'!$B$2:$E$42,MATCH($AE66,'Mutual of Omaha'!$A$2:$A$42,0),IF(LOWER(TRIM($F66))="male",IF(LOWER(TRIM($K66))="yes",2,1),IF(LOWER(TRIM($K66))="yes",4,3))),_xlpm.coverage,VALUE(SUBSTITUTE(SUBSTITUTE($S66,"$",""),",","")),_xlpm.base,_xlpm.rate*(_xlpm.coverage/1000),_xlpm.fee,_xlfn.XLOOKUP("Mutal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6" s="80">
        <f t="array" ref="AY66">IFERROR(_xlfn.LET(_xlpm.rate,INDEX('Mutual of Omaha-Graded'!$B$2:$E$37,MATCH($AE66,'Mutual of Omaha-Graded'!$A$2:$A$37,0),IF(LOWER(TRIM($F66))="male",IF(LOWER(TRIM($K66))="yes",2,1),IF(LOWER(TRIM($K66))="yes",4,3))),_xlpm.coverage,VALUE(SUBSTITUTE(SUBSTITUTE($S66,"$",""),",","")),_xlpm.base,_xlpm.rate*(_xlpm.coverage/1000),_xlpm.fee,_xlfn.XLOOKUP("Mutual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6" s="80">
        <f>AP66</f>
        <v/>
      </c>
      <c r="BA66" s="80">
        <f>IFERROR(IF(AND(AP66&gt;0,AP66&lt;VALUE(SUBSTITUTE(SUBSTITUTE($T66,"$",""),",",""))),VALUE(SUBSTITUTE(SUBSTITUTE($T66,"$",""),",",""))-AP66,""),"")</f>
        <v/>
      </c>
      <c r="BB66" s="80">
        <f>AL66</f>
        <v/>
      </c>
      <c r="BC66" s="80">
        <f>IFERROR(IF(AND(AL66&gt;0,AL66&lt;VALUE(SUBSTITUTE(SUBSTITUTE($T66,"$",""),",",""))),VALUE(SUBSTITUTE(SUBSTITUTE($T66,"$",""),",",""))-AL66,""),"")</f>
        <v/>
      </c>
      <c r="BD66">
        <f t="array" ref="BD66">IFERROR(_xlfn.LET(_xlpm.current,VALUE(SUBSTITUTE(SUBSTITUTE($T66,"$",""),",","")),_xlpm.quotes,AF66:AY66,_xlpm.lowest,_xlfn.MINIFS(_xlpm.quotes,_xlpm.quotes,"&lt;"&amp;_xlpm.current,_xlpm.quotes,"&gt;0"),IF(_xlpm.lowest="","",SUBSTITUTE(INDEX($AF$1:$AY$1,1,MATCH(_xlpm.lowest,_xlpm.quotes,0))," Monthly Quote",""))),"")</f>
        <v/>
      </c>
      <c r="BE66" s="80">
        <f t="array" ref="BE66">IFERROR(_xlfn.LET(_xlpm.current,VALUE(SUBSTITUTE(SUBSTITUTE($T66,"$",""),",","")),_xlpm.quotes,AF66:AY66,_xlpm.lowest,_xlfn.MINIFS(_xlpm.quotes,_xlpm.quotes,"&lt;"&amp;_xlpm.current,_xlpm.quotes,"&gt;0"),IF(_xlpm.lowest="","",_xlpm.current-_xlpm.lowest)),"")</f>
        <v/>
      </c>
    </row>
    <row r="67">
      <c r="A67" s="67" t="inlineStr">
        <is>
          <t>Verla J</t>
        </is>
      </c>
      <c r="B67" s="67" t="inlineStr">
        <is>
          <t>Engelke</t>
        </is>
      </c>
      <c r="C67" s="68" t="n">
        <v>6083487196</v>
      </c>
      <c r="D67" s="68" t="n">
        <v>84</v>
      </c>
      <c r="E67" s="69" t="n">
        <v>15055</v>
      </c>
      <c r="F67" s="67" t="inlineStr">
        <is>
          <t>Female</t>
        </is>
      </c>
      <c r="G67" s="67" t="inlineStr">
        <is>
          <t>75 N Oak St Apt 503 Platteville, WI 53818</t>
        </is>
      </c>
      <c r="H67" s="67" t="inlineStr">
        <is>
          <t>IA</t>
        </is>
      </c>
      <c r="I67" s="73" t="n">
        <v>46123</v>
      </c>
      <c r="J67" s="68" t="n">
        <v>128</v>
      </c>
      <c r="K67" s="67" t="inlineStr">
        <is>
          <t>No</t>
        </is>
      </c>
      <c r="L67" s="67" t="n"/>
      <c r="M67" s="67" t="inlineStr">
        <is>
          <t>Cremation</t>
        </is>
      </c>
      <c r="N67" s="67" t="inlineStr">
        <is>
          <t>(Christy Nodorft - 01 3 1962)</t>
        </is>
      </c>
      <c r="O67" s="67" t="inlineStr">
        <is>
          <t>Daughter</t>
        </is>
      </c>
      <c r="P67" s="67" t="n"/>
      <c r="Q67" s="67" t="n"/>
      <c r="R67" s="67" t="inlineStr">
        <is>
          <t>AHL</t>
        </is>
      </c>
      <c r="S67" s="70" t="n">
        <v>3000</v>
      </c>
      <c r="T67" s="71" t="n">
        <v>44.9</v>
      </c>
      <c r="U67" s="69" t="n">
        <v>45997</v>
      </c>
      <c r="V67" s="69" t="n">
        <v>46028</v>
      </c>
      <c r="W67" s="68" t="n">
        <v>393420833</v>
      </c>
      <c r="X67" s="67" t="inlineStr">
        <is>
          <t>no</t>
        </is>
      </c>
      <c r="Y67" s="67" t="inlineStr">
        <is>
          <t>CLARE BANK</t>
        </is>
      </c>
      <c r="Z67" s="68" t="n">
        <v>75902052</v>
      </c>
      <c r="AA67" s="68" t="n">
        <v>475030</v>
      </c>
      <c r="AB67" s="67" t="inlineStr">
        <is>
          <t>Depression Arthiritis Cholesteral</t>
        </is>
      </c>
      <c r="AC67" s="67" t="inlineStr">
        <is>
          <t>8 Pills</t>
        </is>
      </c>
      <c r="AD67" s="67" t="inlineStr">
        <is>
          <t>Dr. Andrew Klann, MD - Platteville, WI</t>
        </is>
      </c>
      <c r="AE67" s="68" t="n">
        <v>85</v>
      </c>
      <c r="AF67" s="80">
        <f t="array" ref="AF67">IFERROR(_xlfn.LET(_xlpm.rate,INDEX(aflac!$B$2:$E$37,MATCH($AE67,aflac!$A$2:$A$37,0),IF(LOWER(TRIM($F67))="male",IF(LOWER(TRIM($K67))="yes",2,1),IF(LOWER(TRIM($K67))="yes",4,3))),_xlpm.coverage,VALUE(SUBSTITUTE(SUBSTITUTE($S67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7" s="80">
        <f t="array" ref="AG67">IFERROR(_xlfn.LET(_xlpm.rate,INDEX('aflac-modified'!$B$2:$C$32,MATCH($AE67,'aflac-modified'!$A$2:$A$32,0),IF(LOWER(TRIM($F67))="male",1,2)),_xlpm.coverage,VALUE(SUBSTITUTE(SUBSTITUTE($S67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7" s="80">
        <f t="array" ref="AH67">IFERROR(_xlfn.LET(_xlpm.rate,INDEX(SBLI!$B$2:$E$37,MATCH($AE67,SBLI!$A$2:$A$37,0),IF(LOWER(TRIM($F67))="male",IF(LOWER(TRIM($K67))="yes",2,1),IF(LOWER(TRIM($K67))="yes",4,3))),_xlpm.coverage,VALUE(SUBSTITUTE(SUBSTITUTE($S67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7" s="80">
        <f t="array" ref="AI67">IFERROR(_xlfn.LET(_xlpm.rate,INDEX('SBLI-Modified'!$B$2:$E$27,MATCH($AE67,'SBLI-Modified'!$A$2:$A$27,0),IF(LOWER(TRIM($F67))="male",IF(LOWER(TRIM($K67))="yes",2,1),IF(LOWER(TRIM($K67))="yes",4,3))),_xlpm.coverage,VALUE(SUBSTITUTE(SUBSTITUTE($S67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7" s="80">
        <f t="array" ref="AJ67">IFERROR(_xlfn.LET(_xlpm.rate,INDEX(CICA!$B$2:$C$42,MATCH($AE67,CICA!$A$2:$A$42,0),IF(LOWER(TRIM($F67))="male",1,2)),_xlpm.coverage,VALUE(SUBSTITUTE(SUBSTITUTE($S67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7" s="80">
        <f t="array" ref="AK67">IFERROR(_xlfn.LET(_xlpm.rate,INDEX('CICA-GI'!$B$2:$C$47,MATCH($AE67,'CICA-GI'!$A$2:$A$47,0),IF(LOWER(TRIM($F67))="male",1,2)),_xlpm.coverage,VALUE(SUBSTITUTE(SUBSTITUTE($S67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7" s="80">
        <f t="array" ref="AL67">IFERROR(_xlfn.LET(_xlpm.rate,INDEX(gtl!$B$2:$C$52,MATCH($AE67,gtl!$A$2:$A$52,0),IF(LOWER(TRIM($F67))="male",1,2)),_xlpm.coverage,VALUE(SUBSTITUTE(SUBSTITUTE($S67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7" s="80">
        <f t="array" ref="AM67">IFERROR(_xlfn.LET(_xlpm.rate,INDEX(TransAmerica!$B$2:$E$69,MATCH($AE67,TransAmerica!$A$2:$A$69,0),IF(LOWER(TRIM($F67))="male",IF(LOWER(TRIM($K67))="yes",2,1),IF(LOWER(TRIM($K67))="yes",4,3))),_xlpm.coverage,VALUE(SUBSTITUTE(SUBSTITUTE($S67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7" s="80">
        <f t="array" ref="AN67">IFERROR(_xlfn.LET(_xlpm.rate,INDEX('TransAmerica Graded'!$B$2:$E$64,MATCH($AE67,'TransAmerica Graded'!$A$2:$A$64,0),IF(LOWER(TRIM($F67))="male",IF(LOWER(TRIM($K67))="yes",2,1),IF(LOWER(TRIM($K67))="yes",4,3))),_xlpm.coverage,VALUE(SUBSTITUTE(SUBSTITUTE($S67,"$",""),",","")),_xlpm.base,_xlpm.rate*(_xlpm.coverage/1000),_xlpm.fee,_xlfn.XLOOKUP("TransAmerica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7" s="80">
        <f t="array" ref="AO67">IFERROR(_xlfn.LET(_xlpm.rate,INDEX(Corebridge!$B$2:$C$32,MATCH($AE67,Corebridge!$A$2:$A$32,0),IF(LOWER(TRIM($F67))="male",1,2)),_xlpm.coverage,VALUE(SUBSTITUTE(SUBSTITUTE($S67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7" s="80">
        <f t="array" ref="AP67">IFERROR(_xlfn.LET(_xlpm.rate,INDEX(amam!$B$2:$E$37,MATCH($AE67,amam!$A$2:$A$37,0),IF(LOWER(TRIM($F67))="male",IF(LOWER(TRIM($K67))="yes",2,1),IF(LOWER(TRIM($K67))="yes",4,3))),_xlpm.coverage,VALUE(SUBSTITUTE(SUBSTITUTE($S67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7" s="80">
        <f t="array" ref="AQ67">IFERROR(_xlfn.LET(_xlpm.rate,INDEX('amam-graded'!$B$2:$E$37,MATCH($AE67,'amam-graded'!$A$2:$A$37,0),IF(LOWER(TRIM($F67))="male",IF(LOWER(TRIM($K67))="yes",2,1),IF(LOWER(TRIM($K67))="yes",4,3))),_xlpm.coverage,VALUE(SUBSTITUTE(SUBSTITUTE($S67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7" s="80">
        <f t="array" ref="AR67">IFERROR(_xlfn.LET(_xlpm.rate,INDEX('amam-return-or-premium'!$B$2:$E$37,MATCH($AE67,'amam-return-or-premium'!$A$2:$A$37,0),IF(LOWER(TRIM($F67))="male",IF(LOWER(TRIM($K67))="yes",2,1),IF(LOWER(TRIM($K67))="yes",4,3))),_xlpm.coverage,VALUE(SUBSTITUTE(SUBSTITUTE($S67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7" s="80">
        <f t="array" ref="AS67">IFERROR(_xlfn.LET(_xlpm.rate,INDEX(AHL!$B$2:$E$37,MATCH($AE67,AHL!$A$2:$A$37,0),IF(LOWER(TRIM($F67))="male",IF(LOWER(TRIM($K67))="yes",2,1),IF(LOWER(TRIM($K67))="yes",4,3))),_xlpm.coverage,VALUE(SUBSTITUTE(SUBSTITUTE($S67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7" s="80">
        <f t="array" ref="AT67">IFERROR(_xlfn.LET(_xlpm.rate,INDEX('AHL-Graded'!$B$2:$E$32,MATCH($AE67,'AHL-Graded'!$A$2:$A$32,0),IF(LOWER(TRIM($F67))="male",IF(LOWER(TRIM($K67))="yes",2,1),IF(LOWER(TRIM($K67))="yes",4,3))),_xlpm.coverage,VALUE(SUBSTITUTE(SUBSTITUTE($S67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7" s="80">
        <f t="array" ref="AU67">IFERROR(_xlfn.LET(_xlpm.rate,INDEX('Royal Neighbors'!$B$2:$E$37,MATCH($AE67,'Royal Neighbors'!$A$2:$A$37,0),IF(LOWER(TRIM($F67))="male",IF(LOWER(TRIM($K67))="yes",2,1),IF(LOWER(TRIM($K67))="yes",4,3))),_xlpm.coverage,VALUE(SUBSTITUTE(SUBSTITUTE($S67,"$",""),",","")),_xlpm.base,_xlpm.rate*(_xlpm.coverage/1000),_xlpm.fee,_xlfn.XLOOKUP("Royal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7" s="80">
        <f t="array" ref="AV67">IFERROR(_xlfn.LET(_xlpm.rate,INDEX('Royal Neighbors-Graded'!$B$2:$E$37,MATCH($AE67,'Royal Neighbors-Graded'!$A$2:$A$37,0),IF(LOWER(TRIM($F67))="male",IF(LOWER(TRIM($K67))="yes",2,1),IF(LOWER(TRIM($K67))="yes",4,3))),_xlpm.coverage,VALUE(SUBSTITUTE(SUBSTITUTE($S67,"$",""),",","")),_xlpm.base,_xlpm.rate*(_xlpm.coverage/1000),_xlpm.fee,_xlfn.XLOOKUP("Royal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7" s="80">
        <f t="array" ref="AW67">IFERROR(_xlfn.LET(_xlpm.rate,INDEX('Gerber-GI'!$B$2:$C$32,MATCH($AE67,'Gerber-GI'!$A$2:$A$32,0),IF(LOWER(TRIM($F67))="male",1,2)),_xlpm.coverage,VALUE(SUBSTITUTE(SUBSTITUTE($S67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7" s="80">
        <f t="array" ref="AX67">IFERROR(_xlfn.LET(_xlpm.rate,INDEX('Mutual of Omaha'!$B$2:$E$42,MATCH($AE67,'Mutual of Omaha'!$A$2:$A$42,0),IF(LOWER(TRIM($F67))="male",IF(LOWER(TRIM($K67))="yes",2,1),IF(LOWER(TRIM($K67))="yes",4,3))),_xlpm.coverage,VALUE(SUBSTITUTE(SUBSTITUTE($S67,"$",""),",","")),_xlpm.base,_xlpm.rate*(_xlpm.coverage/1000),_xlpm.fee,_xlfn.XLOOKUP("Mutal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7" s="80">
        <f t="array" ref="AY67">IFERROR(_xlfn.LET(_xlpm.rate,INDEX('Mutual of Omaha-Graded'!$B$2:$E$37,MATCH($AE67,'Mutual of Omaha-Graded'!$A$2:$A$37,0),IF(LOWER(TRIM($F67))="male",IF(LOWER(TRIM($K67))="yes",2,1),IF(LOWER(TRIM($K67))="yes",4,3))),_xlpm.coverage,VALUE(SUBSTITUTE(SUBSTITUTE($S67,"$",""),",","")),_xlpm.base,_xlpm.rate*(_xlpm.coverage/1000),_xlpm.fee,_xlfn.XLOOKUP("Mutual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7" s="80">
        <f>AP67</f>
        <v/>
      </c>
      <c r="BA67" s="80">
        <f>IFERROR(IF(AND(AP67&gt;0,AP67&lt;VALUE(SUBSTITUTE(SUBSTITUTE($T67,"$",""),",",""))),VALUE(SUBSTITUTE(SUBSTITUTE($T67,"$",""),",",""))-AP67,""),"")</f>
        <v/>
      </c>
      <c r="BB67" s="80">
        <f>AL67</f>
        <v/>
      </c>
      <c r="BC67" s="80">
        <f>IFERROR(IF(AND(AL67&gt;0,AL67&lt;VALUE(SUBSTITUTE(SUBSTITUTE($T67,"$",""),",",""))),VALUE(SUBSTITUTE(SUBSTITUTE($T67,"$",""),",",""))-AL67,""),"")</f>
        <v/>
      </c>
      <c r="BD67">
        <f t="array" ref="BD67">IFERROR(_xlfn.LET(_xlpm.current,VALUE(SUBSTITUTE(SUBSTITUTE($T67,"$",""),",","")),_xlpm.quotes,AF67:AY67,_xlpm.lowest,_xlfn.MINIFS(_xlpm.quotes,_xlpm.quotes,"&lt;"&amp;_xlpm.current,_xlpm.quotes,"&gt;0"),IF(_xlpm.lowest="","",SUBSTITUTE(INDEX($AF$1:$AY$1,1,MATCH(_xlpm.lowest,_xlpm.quotes,0))," Monthly Quote",""))),"")</f>
        <v/>
      </c>
      <c r="BE67" s="80">
        <f t="array" ref="BE67">IFERROR(_xlfn.LET(_xlpm.current,VALUE(SUBSTITUTE(SUBSTITUTE($T67,"$",""),",","")),_xlpm.quotes,AF67:AY67,_xlpm.lowest,_xlfn.MINIFS(_xlpm.quotes,_xlpm.quotes,"&lt;"&amp;_xlpm.current,_xlpm.quotes,"&gt;0"),IF(_xlpm.lowest="","",_xlpm.current-_xlpm.lowest)),"")</f>
        <v/>
      </c>
    </row>
    <row r="68">
      <c r="A68" s="67" t="inlineStr">
        <is>
          <t>Loretta May</t>
        </is>
      </c>
      <c r="B68" s="67" t="inlineStr">
        <is>
          <t>Edwards</t>
        </is>
      </c>
      <c r="C68" s="68" t="n">
        <v>2082044719</v>
      </c>
      <c r="D68" s="68" t="n">
        <v>80</v>
      </c>
      <c r="E68" s="69" t="n">
        <v>16400</v>
      </c>
      <c r="F68" s="67" t="inlineStr">
        <is>
          <t>Female</t>
        </is>
      </c>
      <c r="G68" s="67" t="inlineStr">
        <is>
          <t>1975 Winchester Rd Culdesac ID 83524</t>
        </is>
      </c>
      <c r="H68" s="67" t="inlineStr">
        <is>
          <t>ID</t>
        </is>
      </c>
      <c r="I68" s="68" t="n">
        <v>5.2</v>
      </c>
      <c r="J68" s="68" t="n">
        <v>110</v>
      </c>
      <c r="K68" s="67" t="inlineStr">
        <is>
          <t>Yes</t>
        </is>
      </c>
      <c r="L68" s="67" t="inlineStr">
        <is>
          <t>.</t>
        </is>
      </c>
      <c r="M68" s="67" t="inlineStr">
        <is>
          <t>Burial</t>
        </is>
      </c>
      <c r="N68" s="67" t="inlineStr">
        <is>
          <t>Stacey Rosgen: 08/16/1969</t>
        </is>
      </c>
      <c r="O68" s="67" t="inlineStr">
        <is>
          <t>Daughter</t>
        </is>
      </c>
      <c r="P68" s="67" t="inlineStr">
        <is>
          <t>Brain Rosgen: 06/14/1971</t>
        </is>
      </c>
      <c r="Q68" s="67" t="inlineStr">
        <is>
          <t>Son</t>
        </is>
      </c>
      <c r="R68" s="67" t="inlineStr">
        <is>
          <t>AHL</t>
        </is>
      </c>
      <c r="S68" s="70" t="n">
        <v>1500</v>
      </c>
      <c r="T68" s="74" t="n">
        <v>54.92</v>
      </c>
      <c r="U68" s="69" t="n">
        <v>45998</v>
      </c>
      <c r="V68" s="69" t="n">
        <v>46029</v>
      </c>
      <c r="W68" s="68" t="n">
        <v>516549627</v>
      </c>
      <c r="X68" s="67" t="inlineStr">
        <is>
          <t>.</t>
        </is>
      </c>
      <c r="Y68" s="67" t="inlineStr">
        <is>
          <t>US Bank</t>
        </is>
      </c>
      <c r="Z68" s="68" t="n">
        <v>123103729</v>
      </c>
      <c r="AA68" s="72" t="n">
        <v>153000000000</v>
      </c>
      <c r="AB68" s="67" t="inlineStr">
        <is>
          <t>Stent Placement (Other) 2022-11-05 Rheumatoid Arthritis 2025-11-05</t>
        </is>
      </c>
      <c r="AC68" s="67" t="inlineStr">
        <is>
          <t>6 pills</t>
        </is>
      </c>
      <c r="AD68" s="67" t="inlineStr">
        <is>
          <t>Dr John Trueblood</t>
        </is>
      </c>
      <c r="AE68" s="68" t="n">
        <v>81</v>
      </c>
      <c r="AF68" s="80">
        <f t="array" ref="AF68">IFERROR(_xlfn.LET(_xlpm.rate,INDEX(aflac!$B$2:$E$37,MATCH($AE68,aflac!$A$2:$A$37,0),IF(LOWER(TRIM($F68))="male",IF(LOWER(TRIM($K68))="yes",2,1),IF(LOWER(TRIM($K68))="yes",4,3))),_xlpm.coverage,VALUE(SUBSTITUTE(SUBSTITUTE($S68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8" s="80">
        <f t="array" ref="AG68">IFERROR(_xlfn.LET(_xlpm.rate,INDEX('aflac-modified'!$B$2:$C$32,MATCH($AE68,'aflac-modified'!$A$2:$A$32,0),IF(LOWER(TRIM($F68))="male",1,2)),_xlpm.coverage,VALUE(SUBSTITUTE(SUBSTITUTE($S68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8" s="80">
        <f t="array" ref="AH68">IFERROR(_xlfn.LET(_xlpm.rate,INDEX(SBLI!$B$2:$E$37,MATCH($AE68,SBLI!$A$2:$A$37,0),IF(LOWER(TRIM($F68))="male",IF(LOWER(TRIM($K68))="yes",2,1),IF(LOWER(TRIM($K68))="yes",4,3))),_xlpm.coverage,VALUE(SUBSTITUTE(SUBSTITUTE($S68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8" s="80">
        <f t="array" ref="AI68">IFERROR(_xlfn.LET(_xlpm.rate,INDEX('SBLI-Modified'!$B$2:$E$27,MATCH($AE68,'SBLI-Modified'!$A$2:$A$27,0),IF(LOWER(TRIM($F68))="male",IF(LOWER(TRIM($K68))="yes",2,1),IF(LOWER(TRIM($K68))="yes",4,3))),_xlpm.coverage,VALUE(SUBSTITUTE(SUBSTITUTE($S68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8" s="80">
        <f t="array" ref="AJ68">IFERROR(_xlfn.LET(_xlpm.rate,INDEX(CICA!$B$2:$C$42,MATCH($AE68,CICA!$A$2:$A$42,0),IF(LOWER(TRIM($F68))="male",1,2)),_xlpm.coverage,VALUE(SUBSTITUTE(SUBSTITUTE($S68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8" s="80">
        <f t="array" ref="AK68">IFERROR(_xlfn.LET(_xlpm.rate,INDEX('CICA-GI'!$B$2:$C$47,MATCH($AE68,'CICA-GI'!$A$2:$A$47,0),IF(LOWER(TRIM($F68))="male",1,2)),_xlpm.coverage,VALUE(SUBSTITUTE(SUBSTITUTE($S68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8" s="80">
        <f t="array" ref="AL68">IFERROR(_xlfn.LET(_xlpm.rate,INDEX(gtl!$B$2:$C$52,MATCH($AE68,gtl!$A$2:$A$52,0),IF(LOWER(TRIM($F68))="male",1,2)),_xlpm.coverage,VALUE(SUBSTITUTE(SUBSTITUTE($S68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8" s="80">
        <f t="array" ref="AM68">IFERROR(_xlfn.LET(_xlpm.rate,INDEX(TransAmerica!$B$2:$E$69,MATCH($AE68,TransAmerica!$A$2:$A$69,0),IF(LOWER(TRIM($F68))="male",IF(LOWER(TRIM($K68))="yes",2,1),IF(LOWER(TRIM($K68))="yes",4,3))),_xlpm.coverage,VALUE(SUBSTITUTE(SUBSTITUTE($S68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8" s="80">
        <f t="array" ref="AN68">IFERROR(_xlfn.LET(_xlpm.rate,INDEX('TransAmerica Graded'!$B$2:$E$64,MATCH($AE68,'TransAmerica Graded'!$A$2:$A$64,0),IF(LOWER(TRIM($F68))="male",IF(LOWER(TRIM($K68))="yes",2,1),IF(LOWER(TRIM($K68))="yes",4,3))),_xlpm.coverage,VALUE(SUBSTITUTE(SUBSTITUTE($S68,"$",""),",","")),_xlpm.base,_xlpm.rate*(_xlpm.coverage/1000),_xlpm.fee,_xlfn.XLOOKUP("TransAmerica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8" s="80">
        <f t="array" ref="AO68">IFERROR(_xlfn.LET(_xlpm.rate,INDEX(Corebridge!$B$2:$C$32,MATCH($AE68,Corebridge!$A$2:$A$32,0),IF(LOWER(TRIM($F68))="male",1,2)),_xlpm.coverage,VALUE(SUBSTITUTE(SUBSTITUTE($S68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8" s="80">
        <f t="array" ref="AP68">IFERROR(_xlfn.LET(_xlpm.rate,INDEX(amam!$B$2:$E$37,MATCH($AE68,amam!$A$2:$A$37,0),IF(LOWER(TRIM($F68))="male",IF(LOWER(TRIM($K68))="yes",2,1),IF(LOWER(TRIM($K68))="yes",4,3))),_xlpm.coverage,VALUE(SUBSTITUTE(SUBSTITUTE($S68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8" s="80">
        <f t="array" ref="AQ68">IFERROR(_xlfn.LET(_xlpm.rate,INDEX('amam-graded'!$B$2:$E$37,MATCH($AE68,'amam-graded'!$A$2:$A$37,0),IF(LOWER(TRIM($F68))="male",IF(LOWER(TRIM($K68))="yes",2,1),IF(LOWER(TRIM($K68))="yes",4,3))),_xlpm.coverage,VALUE(SUBSTITUTE(SUBSTITUTE($S68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8" s="80">
        <f t="array" ref="AR68">IFERROR(_xlfn.LET(_xlpm.rate,INDEX('amam-return-or-premium'!$B$2:$E$37,MATCH($AE68,'amam-return-or-premium'!$A$2:$A$37,0),IF(LOWER(TRIM($F68))="male",IF(LOWER(TRIM($K68))="yes",2,1),IF(LOWER(TRIM($K68))="yes",4,3))),_xlpm.coverage,VALUE(SUBSTITUTE(SUBSTITUTE($S68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8" s="80">
        <f t="array" ref="AS68">IFERROR(_xlfn.LET(_xlpm.rate,INDEX(AHL!$B$2:$E$37,MATCH($AE68,AHL!$A$2:$A$37,0),IF(LOWER(TRIM($F68))="male",IF(LOWER(TRIM($K68))="yes",2,1),IF(LOWER(TRIM($K68))="yes",4,3))),_xlpm.coverage,VALUE(SUBSTITUTE(SUBSTITUTE($S68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8" s="80">
        <f t="array" ref="AT68">IFERROR(_xlfn.LET(_xlpm.rate,INDEX('AHL-Graded'!$B$2:$E$32,MATCH($AE68,'AHL-Graded'!$A$2:$A$32,0),IF(LOWER(TRIM($F68))="male",IF(LOWER(TRIM($K68))="yes",2,1),IF(LOWER(TRIM($K68))="yes",4,3))),_xlpm.coverage,VALUE(SUBSTITUTE(SUBSTITUTE($S68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8" s="80">
        <f t="array" ref="AU68">IFERROR(_xlfn.LET(_xlpm.rate,INDEX('Royal Neighbors'!$B$2:$E$37,MATCH($AE68,'Royal Neighbors'!$A$2:$A$37,0),IF(LOWER(TRIM($F68))="male",IF(LOWER(TRIM($K68))="yes",2,1),IF(LOWER(TRIM($K68))="yes",4,3))),_xlpm.coverage,VALUE(SUBSTITUTE(SUBSTITUTE($S68,"$",""),",","")),_xlpm.base,_xlpm.rate*(_xlpm.coverage/1000),_xlpm.fee,_xlfn.XLOOKUP("Royal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8" s="80">
        <f t="array" ref="AV68">IFERROR(_xlfn.LET(_xlpm.rate,INDEX('Royal Neighbors-Graded'!$B$2:$E$37,MATCH($AE68,'Royal Neighbors-Graded'!$A$2:$A$37,0),IF(LOWER(TRIM($F68))="male",IF(LOWER(TRIM($K68))="yes",2,1),IF(LOWER(TRIM($K68))="yes",4,3))),_xlpm.coverage,VALUE(SUBSTITUTE(SUBSTITUTE($S68,"$",""),",","")),_xlpm.base,_xlpm.rate*(_xlpm.coverage/1000),_xlpm.fee,_xlfn.XLOOKUP("Royal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8" s="80">
        <f t="array" ref="AW68">IFERROR(_xlfn.LET(_xlpm.rate,INDEX('Gerber-GI'!$B$2:$C$32,MATCH($AE68,'Gerber-GI'!$A$2:$A$32,0),IF(LOWER(TRIM($F68))="male",1,2)),_xlpm.coverage,VALUE(SUBSTITUTE(SUBSTITUTE($S68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8" s="80">
        <f t="array" ref="AX68">IFERROR(_xlfn.LET(_xlpm.rate,INDEX('Mutual of Omaha'!$B$2:$E$42,MATCH($AE68,'Mutual of Omaha'!$A$2:$A$42,0),IF(LOWER(TRIM($F68))="male",IF(LOWER(TRIM($K68))="yes",2,1),IF(LOWER(TRIM($K68))="yes",4,3))),_xlpm.coverage,VALUE(SUBSTITUTE(SUBSTITUTE($S68,"$",""),",","")),_xlpm.base,_xlpm.rate*(_xlpm.coverage/1000),_xlpm.fee,_xlfn.XLOOKUP("Mutal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8" s="80">
        <f t="array" ref="AY68">IFERROR(_xlfn.LET(_xlpm.rate,INDEX('Mutual of Omaha-Graded'!$B$2:$E$37,MATCH($AE68,'Mutual of Omaha-Graded'!$A$2:$A$37,0),IF(LOWER(TRIM($F68))="male",IF(LOWER(TRIM($K68))="yes",2,1),IF(LOWER(TRIM($K68))="yes",4,3))),_xlpm.coverage,VALUE(SUBSTITUTE(SUBSTITUTE($S68,"$",""),",","")),_xlpm.base,_xlpm.rate*(_xlpm.coverage/1000),_xlpm.fee,_xlfn.XLOOKUP("Mutual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8" s="80">
        <f>AP68</f>
        <v/>
      </c>
      <c r="BA68" s="80">
        <f>IFERROR(IF(AND(AP68&gt;0,AP68&lt;VALUE(SUBSTITUTE(SUBSTITUTE($T68,"$",""),",",""))),VALUE(SUBSTITUTE(SUBSTITUTE($T68,"$",""),",",""))-AP68,""),"")</f>
        <v/>
      </c>
      <c r="BB68" s="80">
        <f>AL68</f>
        <v/>
      </c>
      <c r="BC68" s="80">
        <f>IFERROR(IF(AND(AL68&gt;0,AL68&lt;VALUE(SUBSTITUTE(SUBSTITUTE($T68,"$",""),",",""))),VALUE(SUBSTITUTE(SUBSTITUTE($T68,"$",""),",",""))-AL68,""),"")</f>
        <v/>
      </c>
      <c r="BD68">
        <f t="array" ref="BD68">IFERROR(_xlfn.LET(_xlpm.current,VALUE(SUBSTITUTE(SUBSTITUTE($T68,"$",""),",","")),_xlpm.quotes,AF68:AY68,_xlpm.lowest,_xlfn.MINIFS(_xlpm.quotes,_xlpm.quotes,"&lt;"&amp;_xlpm.current,_xlpm.quotes,"&gt;0"),IF(_xlpm.lowest="","",SUBSTITUTE(INDEX($AF$1:$AY$1,1,MATCH(_xlpm.lowest,_xlpm.quotes,0))," Monthly Quote",""))),"")</f>
        <v/>
      </c>
      <c r="BE68" s="80">
        <f t="array" ref="BE68">IFERROR(_xlfn.LET(_xlpm.current,VALUE(SUBSTITUTE(SUBSTITUTE($T68,"$",""),",","")),_xlpm.quotes,AF68:AY68,_xlpm.lowest,_xlfn.MINIFS(_xlpm.quotes,_xlpm.quotes,"&lt;"&amp;_xlpm.current,_xlpm.quotes,"&gt;0"),IF(_xlpm.lowest="","",_xlpm.current-_xlpm.lowest)),"")</f>
        <v/>
      </c>
    </row>
    <row r="69">
      <c r="A69" s="67" t="inlineStr">
        <is>
          <t>Gladys M</t>
        </is>
      </c>
      <c r="B69" s="67" t="inlineStr">
        <is>
          <t>Diaz</t>
        </is>
      </c>
      <c r="C69" s="68" t="n">
        <v>7707155948</v>
      </c>
      <c r="D69" s="68" t="n">
        <v>82</v>
      </c>
      <c r="E69" s="69" t="n">
        <v>15843</v>
      </c>
      <c r="F69" s="67" t="inlineStr">
        <is>
          <t>Female</t>
        </is>
      </c>
      <c r="G69" s="67" t="inlineStr">
        <is>
          <t>6433 Gasparilla Pines Blvd #327 Englewood, FL34224</t>
        </is>
      </c>
      <c r="H69" s="67" t="inlineStr">
        <is>
          <t>parto rico</t>
        </is>
      </c>
      <c r="I69" s="68" t="n">
        <v>5.1</v>
      </c>
      <c r="J69" s="68" t="n">
        <v>140</v>
      </c>
      <c r="K69" s="67" t="inlineStr">
        <is>
          <t>No</t>
        </is>
      </c>
      <c r="L69" s="67" t="n"/>
      <c r="M69" s="67" t="inlineStr">
        <is>
          <t>Cremation</t>
        </is>
      </c>
      <c r="N69" s="67" t="inlineStr">
        <is>
          <t>Jose Diaz : 07/16/196</t>
        </is>
      </c>
      <c r="O69" s="67" t="inlineStr">
        <is>
          <t>Son</t>
        </is>
      </c>
      <c r="P69" s="67" t="inlineStr">
        <is>
          <t>Lynette Belardo : 25 yrs old</t>
        </is>
      </c>
      <c r="Q69" s="67" t="inlineStr">
        <is>
          <t>Neice</t>
        </is>
      </c>
      <c r="R69" s="67" t="inlineStr">
        <is>
          <t>AHL</t>
        </is>
      </c>
      <c r="S69" s="70" t="n">
        <v>2500</v>
      </c>
      <c r="T69" s="71" t="n">
        <v>33.69</v>
      </c>
      <c r="U69" s="69" t="n">
        <v>45996</v>
      </c>
      <c r="V69" s="69" t="n">
        <v>46027</v>
      </c>
      <c r="W69" s="68" t="n">
        <v>139345999</v>
      </c>
      <c r="X69" s="67" t="inlineStr">
        <is>
          <t>no</t>
        </is>
      </c>
      <c r="Y69" s="67" t="inlineStr">
        <is>
          <t>JP MORGAN CHASE BANK</t>
        </is>
      </c>
      <c r="Z69" s="68" t="n">
        <v>267084131</v>
      </c>
      <c r="AA69" s="68" t="n">
        <v>729135510</v>
      </c>
      <c r="AB69" s="67" t="inlineStr">
        <is>
          <t>Heart Murmur High Cholesterol</t>
        </is>
      </c>
      <c r="AC69" s="67" t="inlineStr">
        <is>
          <t>Atenolol Rosuvastatin</t>
        </is>
      </c>
      <c r="AD69" s="67" t="inlineStr">
        <is>
          <t>Dr. Lynette Llerena</t>
        </is>
      </c>
      <c r="AE69" s="68" t="n">
        <v>83</v>
      </c>
      <c r="AF69" s="80">
        <f t="array" ref="AF69">IFERROR(_xlfn.LET(_xlpm.rate,INDEX(aflac!$B$2:$E$37,MATCH($AE69,aflac!$A$2:$A$37,0),IF(LOWER(TRIM($F69))="male",IF(LOWER(TRIM($K69))="yes",2,1),IF(LOWER(TRIM($K69))="yes",4,3))),_xlpm.coverage,VALUE(SUBSTITUTE(SUBSTITUTE($S69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69" s="80">
        <f t="array" ref="AG69">IFERROR(_xlfn.LET(_xlpm.rate,INDEX('aflac-modified'!$B$2:$C$32,MATCH($AE69,'aflac-modified'!$A$2:$A$32,0),IF(LOWER(TRIM($F69))="male",1,2)),_xlpm.coverage,VALUE(SUBSTITUTE(SUBSTITUTE($S69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69" s="80">
        <f t="array" ref="AH69">IFERROR(_xlfn.LET(_xlpm.rate,INDEX(SBLI!$B$2:$E$37,MATCH($AE69,SBLI!$A$2:$A$37,0),IF(LOWER(TRIM($F69))="male",IF(LOWER(TRIM($K69))="yes",2,1),IF(LOWER(TRIM($K69))="yes",4,3))),_xlpm.coverage,VALUE(SUBSTITUTE(SUBSTITUTE($S69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69" s="80">
        <f t="array" ref="AI69">IFERROR(_xlfn.LET(_xlpm.rate,INDEX('SBLI-Modified'!$B$2:$E$27,MATCH($AE69,'SBLI-Modified'!$A$2:$A$27,0),IF(LOWER(TRIM($F69))="male",IF(LOWER(TRIM($K69))="yes",2,1),IF(LOWER(TRIM($K69))="yes",4,3))),_xlpm.coverage,VALUE(SUBSTITUTE(SUBSTITUTE($S69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69" s="80">
        <f t="array" ref="AJ69">IFERROR(_xlfn.LET(_xlpm.rate,INDEX(CICA!$B$2:$C$42,MATCH($AE69,CICA!$A$2:$A$42,0),IF(LOWER(TRIM($F69))="male",1,2)),_xlpm.coverage,VALUE(SUBSTITUTE(SUBSTITUTE($S69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69" s="80">
        <f t="array" ref="AK69">IFERROR(_xlfn.LET(_xlpm.rate,INDEX('CICA-GI'!$B$2:$C$47,MATCH($AE69,'CICA-GI'!$A$2:$A$47,0),IF(LOWER(TRIM($F69))="male",1,2)),_xlpm.coverage,VALUE(SUBSTITUTE(SUBSTITUTE($S69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69" s="80">
        <f t="array" ref="AL69">IFERROR(_xlfn.LET(_xlpm.rate,INDEX(gtl!$B$2:$C$52,MATCH($AE69,gtl!$A$2:$A$52,0),IF(LOWER(TRIM($F69))="male",1,2)),_xlpm.coverage,VALUE(SUBSTITUTE(SUBSTITUTE($S69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69" s="80">
        <f t="array" ref="AM69">IFERROR(_xlfn.LET(_xlpm.rate,INDEX(TransAmerica!$B$2:$E$69,MATCH($AE69,TransAmerica!$A$2:$A$69,0),IF(LOWER(TRIM($F69))="male",IF(LOWER(TRIM($K69))="yes",2,1),IF(LOWER(TRIM($K69))="yes",4,3))),_xlpm.coverage,VALUE(SUBSTITUTE(SUBSTITUTE($S69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69" s="80">
        <f t="array" ref="AN69">IFERROR(_xlfn.LET(_xlpm.rate,INDEX('TransAmerica Graded'!$B$2:$E$64,MATCH($AE69,'TransAmerica Graded'!$A$2:$A$64,0),IF(LOWER(TRIM($F69))="male",IF(LOWER(TRIM($K69))="yes",2,1),IF(LOWER(TRIM($K69))="yes",4,3))),_xlpm.coverage,VALUE(SUBSTITUTE(SUBSTITUTE($S69,"$",""),",","")),_xlpm.base,_xlpm.rate*(_xlpm.coverage/1000),_xlpm.fee,_xlfn.XLOOKUP("TransAmerica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69" s="80">
        <f t="array" ref="AO69">IFERROR(_xlfn.LET(_xlpm.rate,INDEX(Corebridge!$B$2:$C$32,MATCH($AE69,Corebridge!$A$2:$A$32,0),IF(LOWER(TRIM($F69))="male",1,2)),_xlpm.coverage,VALUE(SUBSTITUTE(SUBSTITUTE($S69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69" s="80">
        <f t="array" ref="AP69">IFERROR(_xlfn.LET(_xlpm.rate,INDEX(amam!$B$2:$E$37,MATCH($AE69,amam!$A$2:$A$37,0),IF(LOWER(TRIM($F69))="male",IF(LOWER(TRIM($K69))="yes",2,1),IF(LOWER(TRIM($K69))="yes",4,3))),_xlpm.coverage,VALUE(SUBSTITUTE(SUBSTITUTE($S69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69" s="80">
        <f t="array" ref="AQ69">IFERROR(_xlfn.LET(_xlpm.rate,INDEX('amam-graded'!$B$2:$E$37,MATCH($AE69,'amam-graded'!$A$2:$A$37,0),IF(LOWER(TRIM($F69))="male",IF(LOWER(TRIM($K69))="yes",2,1),IF(LOWER(TRIM($K69))="yes",4,3))),_xlpm.coverage,VALUE(SUBSTITUTE(SUBSTITUTE($S69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69" s="80">
        <f t="array" ref="AR69">IFERROR(_xlfn.LET(_xlpm.rate,INDEX('amam-return-or-premium'!$B$2:$E$37,MATCH($AE69,'amam-return-or-premium'!$A$2:$A$37,0),IF(LOWER(TRIM($F69))="male",IF(LOWER(TRIM($K69))="yes",2,1),IF(LOWER(TRIM($K69))="yes",4,3))),_xlpm.coverage,VALUE(SUBSTITUTE(SUBSTITUTE($S69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69" s="80">
        <f t="array" ref="AS69">IFERROR(_xlfn.LET(_xlpm.rate,INDEX(AHL!$B$2:$E$37,MATCH($AE69,AHL!$A$2:$A$37,0),IF(LOWER(TRIM($F69))="male",IF(LOWER(TRIM($K69))="yes",2,1),IF(LOWER(TRIM($K69))="yes",4,3))),_xlpm.coverage,VALUE(SUBSTITUTE(SUBSTITUTE($S69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69" s="80">
        <f t="array" ref="AT69">IFERROR(_xlfn.LET(_xlpm.rate,INDEX('AHL-Graded'!$B$2:$E$32,MATCH($AE69,'AHL-Graded'!$A$2:$A$32,0),IF(LOWER(TRIM($F69))="male",IF(LOWER(TRIM($K69))="yes",2,1),IF(LOWER(TRIM($K69))="yes",4,3))),_xlpm.coverage,VALUE(SUBSTITUTE(SUBSTITUTE($S69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69" s="80">
        <f t="array" ref="AU69">IFERROR(_xlfn.LET(_xlpm.rate,INDEX('Royal Neighbors'!$B$2:$E$37,MATCH($AE69,'Royal Neighbors'!$A$2:$A$37,0),IF(LOWER(TRIM($F69))="male",IF(LOWER(TRIM($K69))="yes",2,1),IF(LOWER(TRIM($K69))="yes",4,3))),_xlpm.coverage,VALUE(SUBSTITUTE(SUBSTITUTE($S69,"$",""),",","")),_xlpm.base,_xlpm.rate*(_xlpm.coverage/1000),_xlpm.fee,_xlfn.XLOOKUP("Royal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69" s="80">
        <f t="array" ref="AV69">IFERROR(_xlfn.LET(_xlpm.rate,INDEX('Royal Neighbors-Graded'!$B$2:$E$37,MATCH($AE69,'Royal Neighbors-Graded'!$A$2:$A$37,0),IF(LOWER(TRIM($F69))="male",IF(LOWER(TRIM($K69))="yes",2,1),IF(LOWER(TRIM($K69))="yes",4,3))),_xlpm.coverage,VALUE(SUBSTITUTE(SUBSTITUTE($S69,"$",""),",","")),_xlpm.base,_xlpm.rate*(_xlpm.coverage/1000),_xlpm.fee,_xlfn.XLOOKUP("Royal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69" s="80">
        <f t="array" ref="AW69">IFERROR(_xlfn.LET(_xlpm.rate,INDEX('Gerber-GI'!$B$2:$C$32,MATCH($AE69,'Gerber-GI'!$A$2:$A$32,0),IF(LOWER(TRIM($F69))="male",1,2)),_xlpm.coverage,VALUE(SUBSTITUTE(SUBSTITUTE($S69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69" s="80">
        <f t="array" ref="AX69">IFERROR(_xlfn.LET(_xlpm.rate,INDEX('Mutual of Omaha'!$B$2:$E$42,MATCH($AE69,'Mutual of Omaha'!$A$2:$A$42,0),IF(LOWER(TRIM($F69))="male",IF(LOWER(TRIM($K69))="yes",2,1),IF(LOWER(TRIM($K69))="yes",4,3))),_xlpm.coverage,VALUE(SUBSTITUTE(SUBSTITUTE($S69,"$",""),",","")),_xlpm.base,_xlpm.rate*(_xlpm.coverage/1000),_xlpm.fee,_xlfn.XLOOKUP("Mutal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69" s="80">
        <f t="array" ref="AY69">IFERROR(_xlfn.LET(_xlpm.rate,INDEX('Mutual of Omaha-Graded'!$B$2:$E$37,MATCH($AE69,'Mutual of Omaha-Graded'!$A$2:$A$37,0),IF(LOWER(TRIM($F69))="male",IF(LOWER(TRIM($K69))="yes",2,1),IF(LOWER(TRIM($K69))="yes",4,3))),_xlpm.coverage,VALUE(SUBSTITUTE(SUBSTITUTE($S69,"$",""),",","")),_xlpm.base,_xlpm.rate*(_xlpm.coverage/1000),_xlpm.fee,_xlfn.XLOOKUP("Mutual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69" s="80">
        <f>AP69</f>
        <v/>
      </c>
      <c r="BA69" s="80">
        <f>IFERROR(IF(AND(AP69&gt;0,AP69&lt;VALUE(SUBSTITUTE(SUBSTITUTE($T69,"$",""),",",""))),VALUE(SUBSTITUTE(SUBSTITUTE($T69,"$",""),",",""))-AP69,""),"")</f>
        <v/>
      </c>
      <c r="BB69" s="80">
        <f>AL69</f>
        <v/>
      </c>
      <c r="BC69" s="80">
        <f>IFERROR(IF(AND(AL69&gt;0,AL69&lt;VALUE(SUBSTITUTE(SUBSTITUTE($T69,"$",""),",",""))),VALUE(SUBSTITUTE(SUBSTITUTE($T69,"$",""),",",""))-AL69,""),"")</f>
        <v/>
      </c>
      <c r="BD69">
        <f t="array" ref="BD69">IFERROR(_xlfn.LET(_xlpm.current,VALUE(SUBSTITUTE(SUBSTITUTE($T69,"$",""),",","")),_xlpm.quotes,AF69:AY69,_xlpm.lowest,_xlfn.MINIFS(_xlpm.quotes,_xlpm.quotes,"&lt;"&amp;_xlpm.current,_xlpm.quotes,"&gt;0"),IF(_xlpm.lowest="","",SUBSTITUTE(INDEX($AF$1:$AY$1,1,MATCH(_xlpm.lowest,_xlpm.quotes,0))," Monthly Quote",""))),"")</f>
        <v/>
      </c>
      <c r="BE69" s="80">
        <f t="array" ref="BE69">IFERROR(_xlfn.LET(_xlpm.current,VALUE(SUBSTITUTE(SUBSTITUTE($T69,"$",""),",","")),_xlpm.quotes,AF69:AY69,_xlpm.lowest,_xlfn.MINIFS(_xlpm.quotes,_xlpm.quotes,"&lt;"&amp;_xlpm.current,_xlpm.quotes,"&gt;0"),IF(_xlpm.lowest="","",_xlpm.current-_xlpm.lowest)),"")</f>
        <v/>
      </c>
    </row>
    <row r="70">
      <c r="A70" s="67" t="inlineStr">
        <is>
          <t>Kenneth E</t>
        </is>
      </c>
      <c r="B70" s="67" t="inlineStr">
        <is>
          <t>Boots</t>
        </is>
      </c>
      <c r="C70" s="68" t="n">
        <v>2608244479</v>
      </c>
      <c r="D70" s="68" t="n">
        <v>73</v>
      </c>
      <c r="E70" s="69" t="n">
        <v>19111</v>
      </c>
      <c r="F70" s="67" t="inlineStr">
        <is>
          <t>MAle</t>
        </is>
      </c>
      <c r="G70" s="67" t="inlineStr">
        <is>
          <t>1122 Echo Ln Bluffton, IN 46714</t>
        </is>
      </c>
      <c r="H70" s="67" t="inlineStr">
        <is>
          <t>KS</t>
        </is>
      </c>
      <c r="I70" s="68" t="n">
        <v>6</v>
      </c>
      <c r="J70" s="67" t="inlineStr">
        <is>
          <t>185lbs</t>
        </is>
      </c>
      <c r="K70" s="67" t="inlineStr">
        <is>
          <t>Yes</t>
        </is>
      </c>
      <c r="L70" s="67" t="n"/>
      <c r="M70" s="67" t="inlineStr">
        <is>
          <t>Cremation</t>
        </is>
      </c>
      <c r="N70" s="67" t="inlineStr">
        <is>
          <t>Angela Worman (07 10 1972)</t>
        </is>
      </c>
      <c r="O70" s="67" t="inlineStr">
        <is>
          <t>Daughter</t>
        </is>
      </c>
      <c r="P70" s="67" t="n"/>
      <c r="Q70" s="67" t="n"/>
      <c r="R70" s="67" t="inlineStr">
        <is>
          <t>AHL</t>
        </is>
      </c>
      <c r="S70" s="70" t="n">
        <v>3000</v>
      </c>
      <c r="T70" s="71" t="n">
        <v>72.75</v>
      </c>
      <c r="U70" s="69" t="n">
        <v>45994</v>
      </c>
      <c r="V70" s="69" t="n">
        <v>46025</v>
      </c>
      <c r="W70" s="68" t="n">
        <v>308527544</v>
      </c>
      <c r="X70" s="67" t="inlineStr">
        <is>
          <t>no</t>
        </is>
      </c>
      <c r="Y70" s="67" t="inlineStr">
        <is>
          <t>First Bank of Berne's</t>
        </is>
      </c>
      <c r="Z70" s="68" t="n">
        <v>74905474</v>
      </c>
      <c r="AA70" s="68" t="n">
        <v>5000107231</v>
      </c>
      <c r="AB70" s="67" t="inlineStr">
        <is>
          <t>Heart Attack 2013-08-21 Diabetes (No Complications) 2025-08-21 High Blood Pressure (Controlled)</t>
        </is>
      </c>
      <c r="AC70" s="67" t="inlineStr">
        <is>
          <t>4 pills</t>
        </is>
      </c>
      <c r="AD70" s="67" t="inlineStr">
        <is>
          <t>no</t>
        </is>
      </c>
      <c r="AE70" s="68" t="n">
        <v>74</v>
      </c>
      <c r="AF70" s="80">
        <f t="array" ref="AF70">IFERROR(_xlfn.LET(_xlpm.rate,INDEX(aflac!$B$2:$E$37,MATCH($AE70,aflac!$A$2:$A$37,0),IF(LOWER(TRIM($F70))="male",IF(LOWER(TRIM($K70))="yes",2,1),IF(LOWER(TRIM($K70))="yes",4,3))),_xlpm.coverage,VALUE(SUBSTITUTE(SUBSTITUTE($S70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0" s="80">
        <f t="array" ref="AG70">IFERROR(_xlfn.LET(_xlpm.rate,INDEX('aflac-modified'!$B$2:$C$32,MATCH($AE70,'aflac-modified'!$A$2:$A$32,0),IF(LOWER(TRIM($F70))="male",1,2)),_xlpm.coverage,VALUE(SUBSTITUTE(SUBSTITUTE($S70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0" s="80">
        <f t="array" ref="AH70">IFERROR(_xlfn.LET(_xlpm.rate,INDEX(SBLI!$B$2:$E$37,MATCH($AE70,SBLI!$A$2:$A$37,0),IF(LOWER(TRIM($F70))="male",IF(LOWER(TRIM($K70))="yes",2,1),IF(LOWER(TRIM($K70))="yes",4,3))),_xlpm.coverage,VALUE(SUBSTITUTE(SUBSTITUTE($S70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0" s="80">
        <f t="array" ref="AI70">IFERROR(_xlfn.LET(_xlpm.rate,INDEX('SBLI-Modified'!$B$2:$E$27,MATCH($AE70,'SBLI-Modified'!$A$2:$A$27,0),IF(LOWER(TRIM($F70))="male",IF(LOWER(TRIM($K70))="yes",2,1),IF(LOWER(TRIM($K70))="yes",4,3))),_xlpm.coverage,VALUE(SUBSTITUTE(SUBSTITUTE($S70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0" s="80">
        <f t="array" ref="AJ70">IFERROR(_xlfn.LET(_xlpm.rate,INDEX(CICA!$B$2:$C$42,MATCH($AE70,CICA!$A$2:$A$42,0),IF(LOWER(TRIM($F70))="male",1,2)),_xlpm.coverage,VALUE(SUBSTITUTE(SUBSTITUTE($S70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0" s="80">
        <f t="array" ref="AK70">IFERROR(_xlfn.LET(_xlpm.rate,INDEX('CICA-GI'!$B$2:$C$47,MATCH($AE70,'CICA-GI'!$A$2:$A$47,0),IF(LOWER(TRIM($F70))="male",1,2)),_xlpm.coverage,VALUE(SUBSTITUTE(SUBSTITUTE($S70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0" s="80">
        <f t="array" ref="AL70">IFERROR(_xlfn.LET(_xlpm.rate,INDEX(gtl!$B$2:$C$52,MATCH($AE70,gtl!$A$2:$A$52,0),IF(LOWER(TRIM($F70))="male",1,2)),_xlpm.coverage,VALUE(SUBSTITUTE(SUBSTITUTE($S70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0" s="80">
        <f t="array" ref="AM70">IFERROR(_xlfn.LET(_xlpm.rate,INDEX(TransAmerica!$B$2:$E$69,MATCH($AE70,TransAmerica!$A$2:$A$69,0),IF(LOWER(TRIM($F70))="male",IF(LOWER(TRIM($K70))="yes",2,1),IF(LOWER(TRIM($K70))="yes",4,3))),_xlpm.coverage,VALUE(SUBSTITUTE(SUBSTITUTE($S70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0" s="80">
        <f t="array" ref="AN70">IFERROR(_xlfn.LET(_xlpm.rate,INDEX('TransAmerica Graded'!$B$2:$E$64,MATCH($AE70,'TransAmerica Graded'!$A$2:$A$64,0),IF(LOWER(TRIM($F70))="male",IF(LOWER(TRIM($K70))="yes",2,1),IF(LOWER(TRIM($K70))="yes",4,3))),_xlpm.coverage,VALUE(SUBSTITUTE(SUBSTITUTE($S70,"$",""),",","")),_xlpm.base,_xlpm.rate*(_xlpm.coverage/1000),_xlpm.fee,_xlfn.XLOOKUP("TransAmerica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0" s="80">
        <f t="array" ref="AO70">IFERROR(_xlfn.LET(_xlpm.rate,INDEX(Corebridge!$B$2:$C$32,MATCH($AE70,Corebridge!$A$2:$A$32,0),IF(LOWER(TRIM($F70))="male",1,2)),_xlpm.coverage,VALUE(SUBSTITUTE(SUBSTITUTE($S70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0" s="80">
        <f t="array" ref="AP70">IFERROR(_xlfn.LET(_xlpm.rate,INDEX(amam!$B$2:$E$37,MATCH($AE70,amam!$A$2:$A$37,0),IF(LOWER(TRIM($F70))="male",IF(LOWER(TRIM($K70))="yes",2,1),IF(LOWER(TRIM($K70))="yes",4,3))),_xlpm.coverage,VALUE(SUBSTITUTE(SUBSTITUTE($S70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0" s="80">
        <f t="array" ref="AQ70">IFERROR(_xlfn.LET(_xlpm.rate,INDEX('amam-graded'!$B$2:$E$37,MATCH($AE70,'amam-graded'!$A$2:$A$37,0),IF(LOWER(TRIM($F70))="male",IF(LOWER(TRIM($K70))="yes",2,1),IF(LOWER(TRIM($K70))="yes",4,3))),_xlpm.coverage,VALUE(SUBSTITUTE(SUBSTITUTE($S70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0" s="80">
        <f t="array" ref="AR70">IFERROR(_xlfn.LET(_xlpm.rate,INDEX('amam-return-or-premium'!$B$2:$E$37,MATCH($AE70,'amam-return-or-premium'!$A$2:$A$37,0),IF(LOWER(TRIM($F70))="male",IF(LOWER(TRIM($K70))="yes",2,1),IF(LOWER(TRIM($K70))="yes",4,3))),_xlpm.coverage,VALUE(SUBSTITUTE(SUBSTITUTE($S70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0" s="80">
        <f t="array" ref="AS70">IFERROR(_xlfn.LET(_xlpm.rate,INDEX(AHL!$B$2:$E$37,MATCH($AE70,AHL!$A$2:$A$37,0),IF(LOWER(TRIM($F70))="male",IF(LOWER(TRIM($K70))="yes",2,1),IF(LOWER(TRIM($K70))="yes",4,3))),_xlpm.coverage,VALUE(SUBSTITUTE(SUBSTITUTE($S70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0" s="80">
        <f t="array" ref="AT70">IFERROR(_xlfn.LET(_xlpm.rate,INDEX('AHL-Graded'!$B$2:$E$32,MATCH($AE70,'AHL-Graded'!$A$2:$A$32,0),IF(LOWER(TRIM($F70))="male",IF(LOWER(TRIM($K70))="yes",2,1),IF(LOWER(TRIM($K70))="yes",4,3))),_xlpm.coverage,VALUE(SUBSTITUTE(SUBSTITUTE($S70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0" s="80">
        <f t="array" ref="AU70">IFERROR(_xlfn.LET(_xlpm.rate,INDEX('Royal Neighbors'!$B$2:$E$37,MATCH($AE70,'Royal Neighbors'!$A$2:$A$37,0),IF(LOWER(TRIM($F70))="male",IF(LOWER(TRIM($K70))="yes",2,1),IF(LOWER(TRIM($K70))="yes",4,3))),_xlpm.coverage,VALUE(SUBSTITUTE(SUBSTITUTE($S70,"$",""),",","")),_xlpm.base,_xlpm.rate*(_xlpm.coverage/1000),_xlpm.fee,_xlfn.XLOOKUP("Royal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0" s="80">
        <f t="array" ref="AV70">IFERROR(_xlfn.LET(_xlpm.rate,INDEX('Royal Neighbors-Graded'!$B$2:$E$37,MATCH($AE70,'Royal Neighbors-Graded'!$A$2:$A$37,0),IF(LOWER(TRIM($F70))="male",IF(LOWER(TRIM($K70))="yes",2,1),IF(LOWER(TRIM($K70))="yes",4,3))),_xlpm.coverage,VALUE(SUBSTITUTE(SUBSTITUTE($S70,"$",""),",","")),_xlpm.base,_xlpm.rate*(_xlpm.coverage/1000),_xlpm.fee,_xlfn.XLOOKUP("Royal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0" s="80">
        <f t="array" ref="AW70">IFERROR(_xlfn.LET(_xlpm.rate,INDEX('Gerber-GI'!$B$2:$C$32,MATCH($AE70,'Gerber-GI'!$A$2:$A$32,0),IF(LOWER(TRIM($F70))="male",1,2)),_xlpm.coverage,VALUE(SUBSTITUTE(SUBSTITUTE($S70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0" s="80">
        <f t="array" ref="AX70">IFERROR(_xlfn.LET(_xlpm.rate,INDEX('Mutual of Omaha'!$B$2:$E$42,MATCH($AE70,'Mutual of Omaha'!$A$2:$A$42,0),IF(LOWER(TRIM($F70))="male",IF(LOWER(TRIM($K70))="yes",2,1),IF(LOWER(TRIM($K70))="yes",4,3))),_xlpm.coverage,VALUE(SUBSTITUTE(SUBSTITUTE($S70,"$",""),",","")),_xlpm.base,_xlpm.rate*(_xlpm.coverage/1000),_xlpm.fee,_xlfn.XLOOKUP("Mutal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0" s="80">
        <f t="array" ref="AY70">IFERROR(_xlfn.LET(_xlpm.rate,INDEX('Mutual of Omaha-Graded'!$B$2:$E$37,MATCH($AE70,'Mutual of Omaha-Graded'!$A$2:$A$37,0),IF(LOWER(TRIM($F70))="male",IF(LOWER(TRIM($K70))="yes",2,1),IF(LOWER(TRIM($K70))="yes",4,3))),_xlpm.coverage,VALUE(SUBSTITUTE(SUBSTITUTE($S70,"$",""),",","")),_xlpm.base,_xlpm.rate*(_xlpm.coverage/1000),_xlpm.fee,_xlfn.XLOOKUP("Mutual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0" s="80">
        <f>AP70</f>
        <v/>
      </c>
      <c r="BA70" s="80">
        <f>IFERROR(IF(AND(AP70&gt;0,AP70&lt;VALUE(SUBSTITUTE(SUBSTITUTE($T70,"$",""),",",""))),VALUE(SUBSTITUTE(SUBSTITUTE($T70,"$",""),",",""))-AP70,""),"")</f>
        <v/>
      </c>
      <c r="BB70" s="80">
        <f>AL70</f>
        <v/>
      </c>
      <c r="BC70" s="80">
        <f>IFERROR(IF(AND(AL70&gt;0,AL70&lt;VALUE(SUBSTITUTE(SUBSTITUTE($T70,"$",""),",",""))),VALUE(SUBSTITUTE(SUBSTITUTE($T70,"$",""),",",""))-AL70,""),"")</f>
        <v/>
      </c>
      <c r="BD70">
        <f t="array" ref="BD70">IFERROR(_xlfn.LET(_xlpm.current,VALUE(SUBSTITUTE(SUBSTITUTE($T70,"$",""),",","")),_xlpm.quotes,AF70:AY70,_xlpm.lowest,_xlfn.MINIFS(_xlpm.quotes,_xlpm.quotes,"&lt;"&amp;_xlpm.current,_xlpm.quotes,"&gt;0"),IF(_xlpm.lowest="","",SUBSTITUTE(INDEX($AF$1:$AY$1,1,MATCH(_xlpm.lowest,_xlpm.quotes,0))," Monthly Quote",""))),"")</f>
        <v/>
      </c>
      <c r="BE70" s="80">
        <f t="array" ref="BE70">IFERROR(_xlfn.LET(_xlpm.current,VALUE(SUBSTITUTE(SUBSTITUTE($T70,"$",""),",","")),_xlpm.quotes,AF70:AY70,_xlpm.lowest,_xlfn.MINIFS(_xlpm.quotes,_xlpm.quotes,"&lt;"&amp;_xlpm.current,_xlpm.quotes,"&gt;0"),IF(_xlpm.lowest="","",_xlpm.current-_xlpm.lowest)),"")</f>
        <v/>
      </c>
    </row>
    <row r="71">
      <c r="A71" s="67" t="inlineStr">
        <is>
          <t>Margaret M</t>
        </is>
      </c>
      <c r="B71" s="67" t="inlineStr">
        <is>
          <t>Brown</t>
        </is>
      </c>
      <c r="C71" s="68" t="n">
        <v>2087408180</v>
      </c>
      <c r="D71" s="68" t="n">
        <v>85</v>
      </c>
      <c r="E71" s="69" t="n">
        <v>14666</v>
      </c>
      <c r="F71" s="67" t="inlineStr">
        <is>
          <t>Female</t>
        </is>
      </c>
      <c r="G71" s="67" t="inlineStr">
        <is>
          <t>415 16th Ave N Payette, ID 83661</t>
        </is>
      </c>
      <c r="H71" s="67" t="inlineStr">
        <is>
          <t>OR</t>
        </is>
      </c>
      <c r="I71" s="68" t="n">
        <v>5.2</v>
      </c>
      <c r="J71" s="68" t="n">
        <v>127</v>
      </c>
      <c r="K71" s="67" t="inlineStr">
        <is>
          <t>No</t>
        </is>
      </c>
      <c r="L71" s="67" t="inlineStr">
        <is>
          <t>.</t>
        </is>
      </c>
      <c r="M71" s="67" t="inlineStr">
        <is>
          <t>Cremation</t>
        </is>
      </c>
      <c r="N71" s="67" t="inlineStr">
        <is>
          <t>Terry Wayne Brown ( 09/11/1957 )</t>
        </is>
      </c>
      <c r="O71" s="67" t="inlineStr">
        <is>
          <t>Son</t>
        </is>
      </c>
      <c r="P71" s="67" t="inlineStr">
        <is>
          <t>.</t>
        </is>
      </c>
      <c r="Q71" s="67" t="inlineStr">
        <is>
          <t>.</t>
        </is>
      </c>
      <c r="R71" s="67" t="inlineStr">
        <is>
          <t>AHL</t>
        </is>
      </c>
      <c r="S71" s="70" t="n">
        <v>3000</v>
      </c>
      <c r="T71" s="68" t="n">
        <v>47.45</v>
      </c>
      <c r="U71" s="69" t="n">
        <v>45996</v>
      </c>
      <c r="V71" s="69" t="n">
        <v>46027</v>
      </c>
      <c r="W71" s="68" t="n">
        <v>541421459</v>
      </c>
      <c r="X71" s="67" t="inlineStr">
        <is>
          <t>.</t>
        </is>
      </c>
      <c r="Y71" s="67" t="inlineStr">
        <is>
          <t>Rogue Credit Union</t>
        </is>
      </c>
      <c r="Z71" s="68" t="n">
        <v>323274775</v>
      </c>
      <c r="AA71" s="68" t="n">
        <v>6004864856</v>
      </c>
      <c r="AB71" s="67" t="inlineStr">
        <is>
          <t>High Blood Pressure</t>
        </is>
      </c>
      <c r="AC71" s="67" t="inlineStr">
        <is>
          <t>Amlodopine</t>
        </is>
      </c>
      <c r="AD71" s="67" t="inlineStr">
        <is>
          <t>Valley Family Health Care</t>
        </is>
      </c>
      <c r="AE71" s="68" t="n">
        <v>86</v>
      </c>
      <c r="AF71" s="80">
        <f t="array" ref="AF71">IFERROR(_xlfn.LET(_xlpm.rate,INDEX(aflac!$B$2:$E$37,MATCH($AE71,aflac!$A$2:$A$37,0),IF(LOWER(TRIM($F71))="male",IF(LOWER(TRIM($K71))="yes",2,1),IF(LOWER(TRIM($K71))="yes",4,3))),_xlpm.coverage,VALUE(SUBSTITUTE(SUBSTITUTE($S71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1" s="80">
        <f t="array" ref="AG71">IFERROR(_xlfn.LET(_xlpm.rate,INDEX('aflac-modified'!$B$2:$C$32,MATCH($AE71,'aflac-modified'!$A$2:$A$32,0),IF(LOWER(TRIM($F71))="male",1,2)),_xlpm.coverage,VALUE(SUBSTITUTE(SUBSTITUTE($S71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1" s="80">
        <f t="array" ref="AH71">IFERROR(_xlfn.LET(_xlpm.rate,INDEX(SBLI!$B$2:$E$37,MATCH($AE71,SBLI!$A$2:$A$37,0),IF(LOWER(TRIM($F71))="male",IF(LOWER(TRIM($K71))="yes",2,1),IF(LOWER(TRIM($K71))="yes",4,3))),_xlpm.coverage,VALUE(SUBSTITUTE(SUBSTITUTE($S71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1" s="80">
        <f t="array" ref="AI71">IFERROR(_xlfn.LET(_xlpm.rate,INDEX('SBLI-Modified'!$B$2:$E$27,MATCH($AE71,'SBLI-Modified'!$A$2:$A$27,0),IF(LOWER(TRIM($F71))="male",IF(LOWER(TRIM($K71))="yes",2,1),IF(LOWER(TRIM($K71))="yes",4,3))),_xlpm.coverage,VALUE(SUBSTITUTE(SUBSTITUTE($S71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1" s="80">
        <f t="array" ref="AJ71">IFERROR(_xlfn.LET(_xlpm.rate,INDEX(CICA!$B$2:$C$42,MATCH($AE71,CICA!$A$2:$A$42,0),IF(LOWER(TRIM($F71))="male",1,2)),_xlpm.coverage,VALUE(SUBSTITUTE(SUBSTITUTE($S71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1" s="80">
        <f t="array" ref="AK71">IFERROR(_xlfn.LET(_xlpm.rate,INDEX('CICA-GI'!$B$2:$C$47,MATCH($AE71,'CICA-GI'!$A$2:$A$47,0),IF(LOWER(TRIM($F71))="male",1,2)),_xlpm.coverage,VALUE(SUBSTITUTE(SUBSTITUTE($S71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1" s="80">
        <f t="array" ref="AL71">IFERROR(_xlfn.LET(_xlpm.rate,INDEX(gtl!$B$2:$C$52,MATCH($AE71,gtl!$A$2:$A$52,0),IF(LOWER(TRIM($F71))="male",1,2)),_xlpm.coverage,VALUE(SUBSTITUTE(SUBSTITUTE($S71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1" s="80">
        <f t="array" ref="AM71">IFERROR(_xlfn.LET(_xlpm.rate,INDEX(TransAmerica!$B$2:$E$69,MATCH($AE71,TransAmerica!$A$2:$A$69,0),IF(LOWER(TRIM($F71))="male",IF(LOWER(TRIM($K71))="yes",2,1),IF(LOWER(TRIM($K71))="yes",4,3))),_xlpm.coverage,VALUE(SUBSTITUTE(SUBSTITUTE($S71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1" s="80">
        <f t="array" ref="AN71">IFERROR(_xlfn.LET(_xlpm.rate,INDEX('TransAmerica Graded'!$B$2:$E$64,MATCH($AE71,'TransAmerica Graded'!$A$2:$A$64,0),IF(LOWER(TRIM($F71))="male",IF(LOWER(TRIM($K71))="yes",2,1),IF(LOWER(TRIM($K71))="yes",4,3))),_xlpm.coverage,VALUE(SUBSTITUTE(SUBSTITUTE($S71,"$",""),",","")),_xlpm.base,_xlpm.rate*(_xlpm.coverage/1000),_xlpm.fee,_xlfn.XLOOKUP("TransAmerica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1" s="80">
        <f t="array" ref="AO71">IFERROR(_xlfn.LET(_xlpm.rate,INDEX(Corebridge!$B$2:$C$32,MATCH($AE71,Corebridge!$A$2:$A$32,0),IF(LOWER(TRIM($F71))="male",1,2)),_xlpm.coverage,VALUE(SUBSTITUTE(SUBSTITUTE($S71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1" s="80">
        <f t="array" ref="AP71">IFERROR(_xlfn.LET(_xlpm.rate,INDEX(amam!$B$2:$E$37,MATCH($AE71,amam!$A$2:$A$37,0),IF(LOWER(TRIM($F71))="male",IF(LOWER(TRIM($K71))="yes",2,1),IF(LOWER(TRIM($K71))="yes",4,3))),_xlpm.coverage,VALUE(SUBSTITUTE(SUBSTITUTE($S71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1" s="80">
        <f t="array" ref="AQ71">IFERROR(_xlfn.LET(_xlpm.rate,INDEX('amam-graded'!$B$2:$E$37,MATCH($AE71,'amam-graded'!$A$2:$A$37,0),IF(LOWER(TRIM($F71))="male",IF(LOWER(TRIM($K71))="yes",2,1),IF(LOWER(TRIM($K71))="yes",4,3))),_xlpm.coverage,VALUE(SUBSTITUTE(SUBSTITUTE($S71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1" s="80">
        <f t="array" ref="AR71">IFERROR(_xlfn.LET(_xlpm.rate,INDEX('amam-return-or-premium'!$B$2:$E$37,MATCH($AE71,'amam-return-or-premium'!$A$2:$A$37,0),IF(LOWER(TRIM($F71))="male",IF(LOWER(TRIM($K71))="yes",2,1),IF(LOWER(TRIM($K71))="yes",4,3))),_xlpm.coverage,VALUE(SUBSTITUTE(SUBSTITUTE($S71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1" s="80">
        <f t="array" ref="AS71">IFERROR(_xlfn.LET(_xlpm.rate,INDEX(AHL!$B$2:$E$37,MATCH($AE71,AHL!$A$2:$A$37,0),IF(LOWER(TRIM($F71))="male",IF(LOWER(TRIM($K71))="yes",2,1),IF(LOWER(TRIM($K71))="yes",4,3))),_xlpm.coverage,VALUE(SUBSTITUTE(SUBSTITUTE($S71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1" s="80">
        <f t="array" ref="AT71">IFERROR(_xlfn.LET(_xlpm.rate,INDEX('AHL-Graded'!$B$2:$E$32,MATCH($AE71,'AHL-Graded'!$A$2:$A$32,0),IF(LOWER(TRIM($F71))="male",IF(LOWER(TRIM($K71))="yes",2,1),IF(LOWER(TRIM($K71))="yes",4,3))),_xlpm.coverage,VALUE(SUBSTITUTE(SUBSTITUTE($S71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1" s="80">
        <f t="array" ref="AU71">IFERROR(_xlfn.LET(_xlpm.rate,INDEX('Royal Neighbors'!$B$2:$E$37,MATCH($AE71,'Royal Neighbors'!$A$2:$A$37,0),IF(LOWER(TRIM($F71))="male",IF(LOWER(TRIM($K71))="yes",2,1),IF(LOWER(TRIM($K71))="yes",4,3))),_xlpm.coverage,VALUE(SUBSTITUTE(SUBSTITUTE($S71,"$",""),",","")),_xlpm.base,_xlpm.rate*(_xlpm.coverage/1000),_xlpm.fee,_xlfn.XLOOKUP("Royal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1" s="80">
        <f t="array" ref="AV71">IFERROR(_xlfn.LET(_xlpm.rate,INDEX('Royal Neighbors-Graded'!$B$2:$E$37,MATCH($AE71,'Royal Neighbors-Graded'!$A$2:$A$37,0),IF(LOWER(TRIM($F71))="male",IF(LOWER(TRIM($K71))="yes",2,1),IF(LOWER(TRIM($K71))="yes",4,3))),_xlpm.coverage,VALUE(SUBSTITUTE(SUBSTITUTE($S71,"$",""),",","")),_xlpm.base,_xlpm.rate*(_xlpm.coverage/1000),_xlpm.fee,_xlfn.XLOOKUP("Royal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1" s="80">
        <f t="array" ref="AW71">IFERROR(_xlfn.LET(_xlpm.rate,INDEX('Gerber-GI'!$B$2:$C$32,MATCH($AE71,'Gerber-GI'!$A$2:$A$32,0),IF(LOWER(TRIM($F71))="male",1,2)),_xlpm.coverage,VALUE(SUBSTITUTE(SUBSTITUTE($S71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1" s="80">
        <f t="array" ref="AX71">IFERROR(_xlfn.LET(_xlpm.rate,INDEX('Mutual of Omaha'!$B$2:$E$42,MATCH($AE71,'Mutual of Omaha'!$A$2:$A$42,0),IF(LOWER(TRIM($F71))="male",IF(LOWER(TRIM($K71))="yes",2,1),IF(LOWER(TRIM($K71))="yes",4,3))),_xlpm.coverage,VALUE(SUBSTITUTE(SUBSTITUTE($S71,"$",""),",","")),_xlpm.base,_xlpm.rate*(_xlpm.coverage/1000),_xlpm.fee,_xlfn.XLOOKUP("Mutal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1" s="80">
        <f t="array" ref="AY71">IFERROR(_xlfn.LET(_xlpm.rate,INDEX('Mutual of Omaha-Graded'!$B$2:$E$37,MATCH($AE71,'Mutual of Omaha-Graded'!$A$2:$A$37,0),IF(LOWER(TRIM($F71))="male",IF(LOWER(TRIM($K71))="yes",2,1),IF(LOWER(TRIM($K71))="yes",4,3))),_xlpm.coverage,VALUE(SUBSTITUTE(SUBSTITUTE($S71,"$",""),",","")),_xlpm.base,_xlpm.rate*(_xlpm.coverage/1000),_xlpm.fee,_xlfn.XLOOKUP("Mutual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1" s="80">
        <f>AP71</f>
        <v/>
      </c>
      <c r="BA71" s="80">
        <f>IFERROR(IF(AND(AP71&gt;0,AP71&lt;VALUE(SUBSTITUTE(SUBSTITUTE($T71,"$",""),",",""))),VALUE(SUBSTITUTE(SUBSTITUTE($T71,"$",""),",",""))-AP71,""),"")</f>
        <v/>
      </c>
      <c r="BB71" s="80">
        <f>AL71</f>
        <v/>
      </c>
      <c r="BC71" s="80">
        <f>IFERROR(IF(AND(AL71&gt;0,AL71&lt;VALUE(SUBSTITUTE(SUBSTITUTE($T71,"$",""),",",""))),VALUE(SUBSTITUTE(SUBSTITUTE($T71,"$",""),",",""))-AL71,""),"")</f>
        <v/>
      </c>
      <c r="BD71">
        <f t="array" ref="BD71">IFERROR(_xlfn.LET(_xlpm.current,VALUE(SUBSTITUTE(SUBSTITUTE($T71,"$",""),",","")),_xlpm.quotes,AF71:AY71,_xlpm.lowest,_xlfn.MINIFS(_xlpm.quotes,_xlpm.quotes,"&lt;"&amp;_xlpm.current,_xlpm.quotes,"&gt;0"),IF(_xlpm.lowest="","",SUBSTITUTE(INDEX($AF$1:$AY$1,1,MATCH(_xlpm.lowest,_xlpm.quotes,0))," Monthly Quote",""))),"")</f>
        <v/>
      </c>
      <c r="BE71" s="80">
        <f t="array" ref="BE71">IFERROR(_xlfn.LET(_xlpm.current,VALUE(SUBSTITUTE(SUBSTITUTE($T71,"$",""),",","")),_xlpm.quotes,AF71:AY71,_xlpm.lowest,_xlfn.MINIFS(_xlpm.quotes,_xlpm.quotes,"&lt;"&amp;_xlpm.current,_xlpm.quotes,"&gt;0"),IF(_xlpm.lowest="","",_xlpm.current-_xlpm.lowest)),"")</f>
        <v/>
      </c>
    </row>
    <row r="72">
      <c r="A72" s="67" t="inlineStr">
        <is>
          <t>Barbara</t>
        </is>
      </c>
      <c r="B72" s="67" t="inlineStr">
        <is>
          <t>Meade</t>
        </is>
      </c>
      <c r="C72" s="68" t="n">
        <v>3046889521</v>
      </c>
      <c r="D72" s="68" t="n">
        <v>81</v>
      </c>
      <c r="E72" s="69" t="n">
        <v>16141</v>
      </c>
      <c r="F72" s="67" t="inlineStr">
        <is>
          <t>Female</t>
        </is>
      </c>
      <c r="G72" s="67" t="inlineStr">
        <is>
          <t>663 Stratton Street Logan WV 25601</t>
        </is>
      </c>
      <c r="H72" s="67" t="inlineStr">
        <is>
          <t>WV</t>
        </is>
      </c>
      <c r="I72" s="68" t="n">
        <v>5.4</v>
      </c>
      <c r="J72" s="68" t="n">
        <v>150</v>
      </c>
      <c r="K72" s="67" t="inlineStr">
        <is>
          <t>No</t>
        </is>
      </c>
      <c r="L72" s="67" t="n"/>
      <c r="M72" s="67" t="inlineStr">
        <is>
          <t>Cremation</t>
        </is>
      </c>
      <c r="N72" s="67" t="inlineStr">
        <is>
          <t>Sherri Muncy</t>
        </is>
      </c>
      <c r="O72" s="67" t="inlineStr">
        <is>
          <t>(Daughter)</t>
        </is>
      </c>
      <c r="P72" s="67" t="n"/>
      <c r="Q72" s="67" t="n"/>
      <c r="R72" s="67" t="inlineStr">
        <is>
          <t>AHL</t>
        </is>
      </c>
      <c r="S72" s="70" t="n">
        <v>3000</v>
      </c>
      <c r="T72" s="68" t="n">
        <v>37.25</v>
      </c>
      <c r="U72" s="69" t="n">
        <v>45994</v>
      </c>
      <c r="V72" s="69" t="n">
        <v>46025</v>
      </c>
      <c r="W72" s="68" t="n">
        <v>234682161</v>
      </c>
      <c r="X72" s="67" t="inlineStr">
        <is>
          <t>N/A</t>
        </is>
      </c>
      <c r="Y72" s="67" t="inlineStr">
        <is>
          <t>JP Morgan</t>
        </is>
      </c>
      <c r="Z72" s="68" t="n">
        <v>51900366</v>
      </c>
      <c r="AA72" s="68" t="n">
        <v>234682161</v>
      </c>
      <c r="AB72" s="67" t="inlineStr">
        <is>
          <t>None</t>
        </is>
      </c>
      <c r="AC72" s="67" t="inlineStr">
        <is>
          <t>None</t>
        </is>
      </c>
      <c r="AD72" s="67" t="inlineStr">
        <is>
          <t>Dr. Rhada</t>
        </is>
      </c>
      <c r="AE72" s="68" t="n">
        <v>82</v>
      </c>
      <c r="AF72" s="80">
        <f t="array" ref="AF72">IFERROR(_xlfn.LET(_xlpm.rate,INDEX(aflac!$B$2:$E$37,MATCH($AE72,aflac!$A$2:$A$37,0),IF(LOWER(TRIM($F72))="male",IF(LOWER(TRIM($K72))="yes",2,1),IF(LOWER(TRIM($K72))="yes",4,3))),_xlpm.coverage,VALUE(SUBSTITUTE(SUBSTITUTE($S72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2" s="80">
        <f t="array" ref="AG72">IFERROR(_xlfn.LET(_xlpm.rate,INDEX('aflac-modified'!$B$2:$C$32,MATCH($AE72,'aflac-modified'!$A$2:$A$32,0),IF(LOWER(TRIM($F72))="male",1,2)),_xlpm.coverage,VALUE(SUBSTITUTE(SUBSTITUTE($S72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2" s="80">
        <f t="array" ref="AH72">IFERROR(_xlfn.LET(_xlpm.rate,INDEX(SBLI!$B$2:$E$37,MATCH($AE72,SBLI!$A$2:$A$37,0),IF(LOWER(TRIM($F72))="male",IF(LOWER(TRIM($K72))="yes",2,1),IF(LOWER(TRIM($K72))="yes",4,3))),_xlpm.coverage,VALUE(SUBSTITUTE(SUBSTITUTE($S72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2" s="80">
        <f t="array" ref="AI72">IFERROR(_xlfn.LET(_xlpm.rate,INDEX('SBLI-Modified'!$B$2:$E$27,MATCH($AE72,'SBLI-Modified'!$A$2:$A$27,0),IF(LOWER(TRIM($F72))="male",IF(LOWER(TRIM($K72))="yes",2,1),IF(LOWER(TRIM($K72))="yes",4,3))),_xlpm.coverage,VALUE(SUBSTITUTE(SUBSTITUTE($S72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2" s="80">
        <f t="array" ref="AJ72">IFERROR(_xlfn.LET(_xlpm.rate,INDEX(CICA!$B$2:$C$42,MATCH($AE72,CICA!$A$2:$A$42,0),IF(LOWER(TRIM($F72))="male",1,2)),_xlpm.coverage,VALUE(SUBSTITUTE(SUBSTITUTE($S72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2" s="80">
        <f t="array" ref="AK72">IFERROR(_xlfn.LET(_xlpm.rate,INDEX('CICA-GI'!$B$2:$C$47,MATCH($AE72,'CICA-GI'!$A$2:$A$47,0),IF(LOWER(TRIM($F72))="male",1,2)),_xlpm.coverage,VALUE(SUBSTITUTE(SUBSTITUTE($S72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2" s="80">
        <f t="array" ref="AL72">IFERROR(_xlfn.LET(_xlpm.rate,INDEX(gtl!$B$2:$C$52,MATCH($AE72,gtl!$A$2:$A$52,0),IF(LOWER(TRIM($F72))="male",1,2)),_xlpm.coverage,VALUE(SUBSTITUTE(SUBSTITUTE($S72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2" s="80">
        <f t="array" ref="AM72">IFERROR(_xlfn.LET(_xlpm.rate,INDEX(TransAmerica!$B$2:$E$69,MATCH($AE72,TransAmerica!$A$2:$A$69,0),IF(LOWER(TRIM($F72))="male",IF(LOWER(TRIM($K72))="yes",2,1),IF(LOWER(TRIM($K72))="yes",4,3))),_xlpm.coverage,VALUE(SUBSTITUTE(SUBSTITUTE($S72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2" s="80">
        <f t="array" ref="AN72">IFERROR(_xlfn.LET(_xlpm.rate,INDEX('TransAmerica Graded'!$B$2:$E$64,MATCH($AE72,'TransAmerica Graded'!$A$2:$A$64,0),IF(LOWER(TRIM($F72))="male",IF(LOWER(TRIM($K72))="yes",2,1),IF(LOWER(TRIM($K72))="yes",4,3))),_xlpm.coverage,VALUE(SUBSTITUTE(SUBSTITUTE($S72,"$",""),",","")),_xlpm.base,_xlpm.rate*(_xlpm.coverage/1000),_xlpm.fee,_xlfn.XLOOKUP("TransAmerica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2" s="80">
        <f t="array" ref="AO72">IFERROR(_xlfn.LET(_xlpm.rate,INDEX(Corebridge!$B$2:$C$32,MATCH($AE72,Corebridge!$A$2:$A$32,0),IF(LOWER(TRIM($F72))="male",1,2)),_xlpm.coverage,VALUE(SUBSTITUTE(SUBSTITUTE($S72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2" s="80">
        <f t="array" ref="AP72">IFERROR(_xlfn.LET(_xlpm.rate,INDEX(amam!$B$2:$E$37,MATCH($AE72,amam!$A$2:$A$37,0),IF(LOWER(TRIM($F72))="male",IF(LOWER(TRIM($K72))="yes",2,1),IF(LOWER(TRIM($K72))="yes",4,3))),_xlpm.coverage,VALUE(SUBSTITUTE(SUBSTITUTE($S72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2" s="80">
        <f t="array" ref="AQ72">IFERROR(_xlfn.LET(_xlpm.rate,INDEX('amam-graded'!$B$2:$E$37,MATCH($AE72,'amam-graded'!$A$2:$A$37,0),IF(LOWER(TRIM($F72))="male",IF(LOWER(TRIM($K72))="yes",2,1),IF(LOWER(TRIM($K72))="yes",4,3))),_xlpm.coverage,VALUE(SUBSTITUTE(SUBSTITUTE($S72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2" s="80">
        <f t="array" ref="AR72">IFERROR(_xlfn.LET(_xlpm.rate,INDEX('amam-return-or-premium'!$B$2:$E$37,MATCH($AE72,'amam-return-or-premium'!$A$2:$A$37,0),IF(LOWER(TRIM($F72))="male",IF(LOWER(TRIM($K72))="yes",2,1),IF(LOWER(TRIM($K72))="yes",4,3))),_xlpm.coverage,VALUE(SUBSTITUTE(SUBSTITUTE($S72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2" s="80">
        <f t="array" ref="AS72">IFERROR(_xlfn.LET(_xlpm.rate,INDEX(AHL!$B$2:$E$37,MATCH($AE72,AHL!$A$2:$A$37,0),IF(LOWER(TRIM($F72))="male",IF(LOWER(TRIM($K72))="yes",2,1),IF(LOWER(TRIM($K72))="yes",4,3))),_xlpm.coverage,VALUE(SUBSTITUTE(SUBSTITUTE($S72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2" s="80">
        <f t="array" ref="AT72">IFERROR(_xlfn.LET(_xlpm.rate,INDEX('AHL-Graded'!$B$2:$E$32,MATCH($AE72,'AHL-Graded'!$A$2:$A$32,0),IF(LOWER(TRIM($F72))="male",IF(LOWER(TRIM($K72))="yes",2,1),IF(LOWER(TRIM($K72))="yes",4,3))),_xlpm.coverage,VALUE(SUBSTITUTE(SUBSTITUTE($S72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2" s="80">
        <f t="array" ref="AU72">IFERROR(_xlfn.LET(_xlpm.rate,INDEX('Royal Neighbors'!$B$2:$E$37,MATCH($AE72,'Royal Neighbors'!$A$2:$A$37,0),IF(LOWER(TRIM($F72))="male",IF(LOWER(TRIM($K72))="yes",2,1),IF(LOWER(TRIM($K72))="yes",4,3))),_xlpm.coverage,VALUE(SUBSTITUTE(SUBSTITUTE($S72,"$",""),",","")),_xlpm.base,_xlpm.rate*(_xlpm.coverage/1000),_xlpm.fee,_xlfn.XLOOKUP("Royal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2" s="80">
        <f t="array" ref="AV72">IFERROR(_xlfn.LET(_xlpm.rate,INDEX('Royal Neighbors-Graded'!$B$2:$E$37,MATCH($AE72,'Royal Neighbors-Graded'!$A$2:$A$37,0),IF(LOWER(TRIM($F72))="male",IF(LOWER(TRIM($K72))="yes",2,1),IF(LOWER(TRIM($K72))="yes",4,3))),_xlpm.coverage,VALUE(SUBSTITUTE(SUBSTITUTE($S72,"$",""),",","")),_xlpm.base,_xlpm.rate*(_xlpm.coverage/1000),_xlpm.fee,_xlfn.XLOOKUP("Royal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2" s="80">
        <f t="array" ref="AW72">IFERROR(_xlfn.LET(_xlpm.rate,INDEX('Gerber-GI'!$B$2:$C$32,MATCH($AE72,'Gerber-GI'!$A$2:$A$32,0),IF(LOWER(TRIM($F72))="male",1,2)),_xlpm.coverage,VALUE(SUBSTITUTE(SUBSTITUTE($S72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2" s="80">
        <f t="array" ref="AX72">IFERROR(_xlfn.LET(_xlpm.rate,INDEX('Mutual of Omaha'!$B$2:$E$42,MATCH($AE72,'Mutual of Omaha'!$A$2:$A$42,0),IF(LOWER(TRIM($F72))="male",IF(LOWER(TRIM($K72))="yes",2,1),IF(LOWER(TRIM($K72))="yes",4,3))),_xlpm.coverage,VALUE(SUBSTITUTE(SUBSTITUTE($S72,"$",""),",","")),_xlpm.base,_xlpm.rate*(_xlpm.coverage/1000),_xlpm.fee,_xlfn.XLOOKUP("Mutal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2" s="80">
        <f t="array" ref="AY72">IFERROR(_xlfn.LET(_xlpm.rate,INDEX('Mutual of Omaha-Graded'!$B$2:$E$37,MATCH($AE72,'Mutual of Omaha-Graded'!$A$2:$A$37,0),IF(LOWER(TRIM($F72))="male",IF(LOWER(TRIM($K72))="yes",2,1),IF(LOWER(TRIM($K72))="yes",4,3))),_xlpm.coverage,VALUE(SUBSTITUTE(SUBSTITUTE($S72,"$",""),",","")),_xlpm.base,_xlpm.rate*(_xlpm.coverage/1000),_xlpm.fee,_xlfn.XLOOKUP("Mutual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2" s="80">
        <f>AP72</f>
        <v/>
      </c>
      <c r="BA72" s="80">
        <f>IFERROR(IF(AND(AP72&gt;0,AP72&lt;VALUE(SUBSTITUTE(SUBSTITUTE($T72,"$",""),",",""))),VALUE(SUBSTITUTE(SUBSTITUTE($T72,"$",""),",",""))-AP72,""),"")</f>
        <v/>
      </c>
      <c r="BB72" s="80">
        <f>AL72</f>
        <v/>
      </c>
      <c r="BC72" s="80">
        <f>IFERROR(IF(AND(AL72&gt;0,AL72&lt;VALUE(SUBSTITUTE(SUBSTITUTE($T72,"$",""),",",""))),VALUE(SUBSTITUTE(SUBSTITUTE($T72,"$",""),",",""))-AL72,""),"")</f>
        <v/>
      </c>
      <c r="BD72">
        <f t="array" ref="BD72">IFERROR(_xlfn.LET(_xlpm.current,VALUE(SUBSTITUTE(SUBSTITUTE($T72,"$",""),",","")),_xlpm.quotes,AF72:AY72,_xlpm.lowest,_xlfn.MINIFS(_xlpm.quotes,_xlpm.quotes,"&lt;"&amp;_xlpm.current,_xlpm.quotes,"&gt;0"),IF(_xlpm.lowest="","",SUBSTITUTE(INDEX($AF$1:$AY$1,1,MATCH(_xlpm.lowest,_xlpm.quotes,0))," Monthly Quote",""))),"")</f>
        <v/>
      </c>
      <c r="BE72" s="80">
        <f t="array" ref="BE72">IFERROR(_xlfn.LET(_xlpm.current,VALUE(SUBSTITUTE(SUBSTITUTE($T72,"$",""),",","")),_xlpm.quotes,AF72:AY72,_xlpm.lowest,_xlfn.MINIFS(_xlpm.quotes,_xlpm.quotes,"&lt;"&amp;_xlpm.current,_xlpm.quotes,"&gt;0"),IF(_xlpm.lowest="","",_xlpm.current-_xlpm.lowest)),"")</f>
        <v/>
      </c>
    </row>
    <row r="73">
      <c r="A73" s="67" t="inlineStr">
        <is>
          <t>Lurline</t>
        </is>
      </c>
      <c r="B73" s="67" t="inlineStr">
        <is>
          <t>Fergerson</t>
        </is>
      </c>
      <c r="C73" s="68" t="n">
        <v>3013508310</v>
      </c>
      <c r="D73" s="68" t="n">
        <v>88</v>
      </c>
      <c r="E73" s="69" t="n">
        <v>13762</v>
      </c>
      <c r="F73" s="67" t="inlineStr">
        <is>
          <t>Female</t>
        </is>
      </c>
      <c r="G73" s="67" t="inlineStr">
        <is>
          <t>7602 Shady Glen Ct Capitol Heights, MD 20743</t>
        </is>
      </c>
      <c r="H73" s="67" t="inlineStr">
        <is>
          <t>LA</t>
        </is>
      </c>
      <c r="I73" s="67" t="inlineStr">
        <is>
          <t>5'6</t>
        </is>
      </c>
      <c r="J73" s="67" t="inlineStr">
        <is>
          <t>125lbs</t>
        </is>
      </c>
      <c r="K73" s="67" t="inlineStr">
        <is>
          <t>No</t>
        </is>
      </c>
      <c r="L73" s="67" t="n"/>
      <c r="M73" s="67" t="inlineStr">
        <is>
          <t>Burial</t>
        </is>
      </c>
      <c r="N73" s="67" t="inlineStr">
        <is>
          <t>Blaise Fergerson</t>
        </is>
      </c>
      <c r="O73" s="67" t="inlineStr">
        <is>
          <t>Daughter</t>
        </is>
      </c>
      <c r="P73" s="67" t="n"/>
      <c r="Q73" s="67" t="n"/>
      <c r="R73" s="67" t="inlineStr">
        <is>
          <t>AHL</t>
        </is>
      </c>
      <c r="S73" s="70" t="n">
        <v>3000</v>
      </c>
      <c r="T73" s="74" t="n">
        <v>75.37</v>
      </c>
      <c r="U73" s="69" t="n">
        <v>45992</v>
      </c>
      <c r="V73" s="69" t="n">
        <v>46023</v>
      </c>
      <c r="W73" s="68" t="n">
        <v>438522192</v>
      </c>
      <c r="X73" s="67" t="inlineStr">
        <is>
          <t>Nil</t>
        </is>
      </c>
      <c r="Y73" s="67" t="inlineStr">
        <is>
          <t>Andrews Federal Credit Union</t>
        </is>
      </c>
      <c r="Z73" s="68" t="n">
        <v>255074111</v>
      </c>
      <c r="AA73" s="72" t="n">
        <v>1.4e+17</v>
      </c>
      <c r="AB73" s="67" t="inlineStr">
        <is>
          <t>No major health conditions</t>
        </is>
      </c>
      <c r="AC73" s="67" t="inlineStr">
        <is>
          <t>Nil</t>
        </is>
      </c>
      <c r="AD73" s="67" t="inlineStr">
        <is>
          <t>Nil</t>
        </is>
      </c>
      <c r="AE73" s="68" t="n">
        <v>88</v>
      </c>
      <c r="AF73" s="80">
        <f t="array" ref="AF73">IFERROR(_xlfn.LET(_xlpm.rate,INDEX(aflac!$B$2:$E$37,MATCH($AE73,aflac!$A$2:$A$37,0),IF(LOWER(TRIM($F73))="male",IF(LOWER(TRIM($K73))="yes",2,1),IF(LOWER(TRIM($K73))="yes",4,3))),_xlpm.coverage,VALUE(SUBSTITUTE(SUBSTITUTE($S73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3" s="80">
        <f t="array" ref="AG73">IFERROR(_xlfn.LET(_xlpm.rate,INDEX('aflac-modified'!$B$2:$C$32,MATCH($AE73,'aflac-modified'!$A$2:$A$32,0),IF(LOWER(TRIM($F73))="male",1,2)),_xlpm.coverage,VALUE(SUBSTITUTE(SUBSTITUTE($S73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3" s="80">
        <f t="array" ref="AH73">IFERROR(_xlfn.LET(_xlpm.rate,INDEX(SBLI!$B$2:$E$37,MATCH($AE73,SBLI!$A$2:$A$37,0),IF(LOWER(TRIM($F73))="male",IF(LOWER(TRIM($K73))="yes",2,1),IF(LOWER(TRIM($K73))="yes",4,3))),_xlpm.coverage,VALUE(SUBSTITUTE(SUBSTITUTE($S73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3" s="80">
        <f t="array" ref="AI73">IFERROR(_xlfn.LET(_xlpm.rate,INDEX('SBLI-Modified'!$B$2:$E$27,MATCH($AE73,'SBLI-Modified'!$A$2:$A$27,0),IF(LOWER(TRIM($F73))="male",IF(LOWER(TRIM($K73))="yes",2,1),IF(LOWER(TRIM($K73))="yes",4,3))),_xlpm.coverage,VALUE(SUBSTITUTE(SUBSTITUTE($S73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3" s="80">
        <f t="array" ref="AJ73">IFERROR(_xlfn.LET(_xlpm.rate,INDEX(CICA!$B$2:$C$42,MATCH($AE73,CICA!$A$2:$A$42,0),IF(LOWER(TRIM($F73))="male",1,2)),_xlpm.coverage,VALUE(SUBSTITUTE(SUBSTITUTE($S73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3" s="80">
        <f t="array" ref="AK73">IFERROR(_xlfn.LET(_xlpm.rate,INDEX('CICA-GI'!$B$2:$C$47,MATCH($AE73,'CICA-GI'!$A$2:$A$47,0),IF(LOWER(TRIM($F73))="male",1,2)),_xlpm.coverage,VALUE(SUBSTITUTE(SUBSTITUTE($S73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3" s="80">
        <f t="array" ref="AL73">IFERROR(_xlfn.LET(_xlpm.rate,INDEX(gtl!$B$2:$C$52,MATCH($AE73,gtl!$A$2:$A$52,0),IF(LOWER(TRIM($F73))="male",1,2)),_xlpm.coverage,VALUE(SUBSTITUTE(SUBSTITUTE($S73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3" s="80">
        <f t="array" ref="AM73">IFERROR(_xlfn.LET(_xlpm.rate,INDEX(TransAmerica!$B$2:$E$69,MATCH($AE73,TransAmerica!$A$2:$A$69,0),IF(LOWER(TRIM($F73))="male",IF(LOWER(TRIM($K73))="yes",2,1),IF(LOWER(TRIM($K73))="yes",4,3))),_xlpm.coverage,VALUE(SUBSTITUTE(SUBSTITUTE($S73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3" s="80">
        <f t="array" ref="AN73">IFERROR(_xlfn.LET(_xlpm.rate,INDEX('TransAmerica Graded'!$B$2:$E$64,MATCH($AE73,'TransAmerica Graded'!$A$2:$A$64,0),IF(LOWER(TRIM($F73))="male",IF(LOWER(TRIM($K73))="yes",2,1),IF(LOWER(TRIM($K73))="yes",4,3))),_xlpm.coverage,VALUE(SUBSTITUTE(SUBSTITUTE($S73,"$",""),",","")),_xlpm.base,_xlpm.rate*(_xlpm.coverage/1000),_xlpm.fee,_xlfn.XLOOKUP("TransAmerica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3" s="80">
        <f t="array" ref="AO73">IFERROR(_xlfn.LET(_xlpm.rate,INDEX(Corebridge!$B$2:$C$32,MATCH($AE73,Corebridge!$A$2:$A$32,0),IF(LOWER(TRIM($F73))="male",1,2)),_xlpm.coverage,VALUE(SUBSTITUTE(SUBSTITUTE($S73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3" s="80">
        <f t="array" ref="AP73">IFERROR(_xlfn.LET(_xlpm.rate,INDEX(amam!$B$2:$E$37,MATCH($AE73,amam!$A$2:$A$37,0),IF(LOWER(TRIM($F73))="male",IF(LOWER(TRIM($K73))="yes",2,1),IF(LOWER(TRIM($K73))="yes",4,3))),_xlpm.coverage,VALUE(SUBSTITUTE(SUBSTITUTE($S73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3" s="80">
        <f t="array" ref="AQ73">IFERROR(_xlfn.LET(_xlpm.rate,INDEX('amam-graded'!$B$2:$E$37,MATCH($AE73,'amam-graded'!$A$2:$A$37,0),IF(LOWER(TRIM($F73))="male",IF(LOWER(TRIM($K73))="yes",2,1),IF(LOWER(TRIM($K73))="yes",4,3))),_xlpm.coverage,VALUE(SUBSTITUTE(SUBSTITUTE($S73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3" s="80">
        <f t="array" ref="AR73">IFERROR(_xlfn.LET(_xlpm.rate,INDEX('amam-return-or-premium'!$B$2:$E$37,MATCH($AE73,'amam-return-or-premium'!$A$2:$A$37,0),IF(LOWER(TRIM($F73))="male",IF(LOWER(TRIM($K73))="yes",2,1),IF(LOWER(TRIM($K73))="yes",4,3))),_xlpm.coverage,VALUE(SUBSTITUTE(SUBSTITUTE($S73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3" s="80">
        <f t="array" ref="AS73">IFERROR(_xlfn.LET(_xlpm.rate,INDEX(AHL!$B$2:$E$37,MATCH($AE73,AHL!$A$2:$A$37,0),IF(LOWER(TRIM($F73))="male",IF(LOWER(TRIM($K73))="yes",2,1),IF(LOWER(TRIM($K73))="yes",4,3))),_xlpm.coverage,VALUE(SUBSTITUTE(SUBSTITUTE($S73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3" s="80">
        <f t="array" ref="AT73">IFERROR(_xlfn.LET(_xlpm.rate,INDEX('AHL-Graded'!$B$2:$E$32,MATCH($AE73,'AHL-Graded'!$A$2:$A$32,0),IF(LOWER(TRIM($F73))="male",IF(LOWER(TRIM($K73))="yes",2,1),IF(LOWER(TRIM($K73))="yes",4,3))),_xlpm.coverage,VALUE(SUBSTITUTE(SUBSTITUTE($S73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3" s="80">
        <f t="array" ref="AU73">IFERROR(_xlfn.LET(_xlpm.rate,INDEX('Royal Neighbors'!$B$2:$E$37,MATCH($AE73,'Royal Neighbors'!$A$2:$A$37,0),IF(LOWER(TRIM($F73))="male",IF(LOWER(TRIM($K73))="yes",2,1),IF(LOWER(TRIM($K73))="yes",4,3))),_xlpm.coverage,VALUE(SUBSTITUTE(SUBSTITUTE($S73,"$",""),",","")),_xlpm.base,_xlpm.rate*(_xlpm.coverage/1000),_xlpm.fee,_xlfn.XLOOKUP("Royal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3" s="80">
        <f t="array" ref="AV73">IFERROR(_xlfn.LET(_xlpm.rate,INDEX('Royal Neighbors-Graded'!$B$2:$E$37,MATCH($AE73,'Royal Neighbors-Graded'!$A$2:$A$37,0),IF(LOWER(TRIM($F73))="male",IF(LOWER(TRIM($K73))="yes",2,1),IF(LOWER(TRIM($K73))="yes",4,3))),_xlpm.coverage,VALUE(SUBSTITUTE(SUBSTITUTE($S73,"$",""),",","")),_xlpm.base,_xlpm.rate*(_xlpm.coverage/1000),_xlpm.fee,_xlfn.XLOOKUP("Royal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3" s="80">
        <f t="array" ref="AW73">IFERROR(_xlfn.LET(_xlpm.rate,INDEX('Gerber-GI'!$B$2:$C$32,MATCH($AE73,'Gerber-GI'!$A$2:$A$32,0),IF(LOWER(TRIM($F73))="male",1,2)),_xlpm.coverage,VALUE(SUBSTITUTE(SUBSTITUTE($S73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3" s="80">
        <f t="array" ref="AX73">IFERROR(_xlfn.LET(_xlpm.rate,INDEX('Mutual of Omaha'!$B$2:$E$42,MATCH($AE73,'Mutual of Omaha'!$A$2:$A$42,0),IF(LOWER(TRIM($F73))="male",IF(LOWER(TRIM($K73))="yes",2,1),IF(LOWER(TRIM($K73))="yes",4,3))),_xlpm.coverage,VALUE(SUBSTITUTE(SUBSTITUTE($S73,"$",""),",","")),_xlpm.base,_xlpm.rate*(_xlpm.coverage/1000),_xlpm.fee,_xlfn.XLOOKUP("Mutal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3" s="80">
        <f t="array" ref="AY73">IFERROR(_xlfn.LET(_xlpm.rate,INDEX('Mutual of Omaha-Graded'!$B$2:$E$37,MATCH($AE73,'Mutual of Omaha-Graded'!$A$2:$A$37,0),IF(LOWER(TRIM($F73))="male",IF(LOWER(TRIM($K73))="yes",2,1),IF(LOWER(TRIM($K73))="yes",4,3))),_xlpm.coverage,VALUE(SUBSTITUTE(SUBSTITUTE($S73,"$",""),",","")),_xlpm.base,_xlpm.rate*(_xlpm.coverage/1000),_xlpm.fee,_xlfn.XLOOKUP("Mutual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3" s="80">
        <f>AP73</f>
        <v/>
      </c>
      <c r="BA73" s="80">
        <f>IFERROR(IF(AND(AP73&gt;0,AP73&lt;VALUE(SUBSTITUTE(SUBSTITUTE($T73,"$",""),",",""))),VALUE(SUBSTITUTE(SUBSTITUTE($T73,"$",""),",",""))-AP73,""),"")</f>
        <v/>
      </c>
      <c r="BB73" s="80">
        <f>AL73</f>
        <v/>
      </c>
      <c r="BC73" s="80">
        <f>IFERROR(IF(AND(AL73&gt;0,AL73&lt;VALUE(SUBSTITUTE(SUBSTITUTE($T73,"$",""),",",""))),VALUE(SUBSTITUTE(SUBSTITUTE($T73,"$",""),",",""))-AL73,""),"")</f>
        <v/>
      </c>
      <c r="BD73">
        <f t="array" ref="BD73">IFERROR(_xlfn.LET(_xlpm.current,VALUE(SUBSTITUTE(SUBSTITUTE($T73,"$",""),",","")),_xlpm.quotes,AF73:AY73,_xlpm.lowest,_xlfn.MINIFS(_xlpm.quotes,_xlpm.quotes,"&lt;"&amp;_xlpm.current,_xlpm.quotes,"&gt;0"),IF(_xlpm.lowest="","",SUBSTITUTE(INDEX($AF$1:$AY$1,1,MATCH(_xlpm.lowest,_xlpm.quotes,0))," Monthly Quote",""))),"")</f>
        <v/>
      </c>
      <c r="BE73" s="80">
        <f t="array" ref="BE73">IFERROR(_xlfn.LET(_xlpm.current,VALUE(SUBSTITUTE(SUBSTITUTE($T73,"$",""),",","")),_xlpm.quotes,AF73:AY73,_xlpm.lowest,_xlfn.MINIFS(_xlpm.quotes,_xlpm.quotes,"&lt;"&amp;_xlpm.current,_xlpm.quotes,"&gt;0"),IF(_xlpm.lowest="","",_xlpm.current-_xlpm.lowest)),"")</f>
        <v/>
      </c>
    </row>
    <row r="74">
      <c r="A74" s="67" t="inlineStr">
        <is>
          <t>Patricia A</t>
        </is>
      </c>
      <c r="B74" s="67" t="inlineStr">
        <is>
          <t>Brent</t>
        </is>
      </c>
      <c r="C74" s="68" t="n">
        <v>6035829558</v>
      </c>
      <c r="D74" s="68" t="n">
        <v>79</v>
      </c>
      <c r="E74" s="69" t="n">
        <v>17042</v>
      </c>
      <c r="F74" s="67" t="inlineStr">
        <is>
          <t>Female</t>
        </is>
      </c>
      <c r="G74" s="67" t="inlineStr">
        <is>
          <t>22723 N Aaron Rd Maricopa AZ 85138</t>
        </is>
      </c>
      <c r="H74" s="67" t="inlineStr">
        <is>
          <t>NH</t>
        </is>
      </c>
      <c r="I74" s="68" t="n">
        <v>5.6</v>
      </c>
      <c r="J74" s="68" t="n">
        <v>160</v>
      </c>
      <c r="K74" s="67" t="inlineStr">
        <is>
          <t>No</t>
        </is>
      </c>
      <c r="L74" s="67" t="inlineStr">
        <is>
          <t>.</t>
        </is>
      </c>
      <c r="M74" s="67" t="inlineStr">
        <is>
          <t>Burial</t>
        </is>
      </c>
      <c r="N74" s="67" t="inlineStr">
        <is>
          <t>Collin Brent: (53)</t>
        </is>
      </c>
      <c r="O74" s="67" t="inlineStr">
        <is>
          <t>Son</t>
        </is>
      </c>
      <c r="P74" s="67" t="inlineStr">
        <is>
          <t>.</t>
        </is>
      </c>
      <c r="Q74" s="67" t="inlineStr">
        <is>
          <t>.</t>
        </is>
      </c>
      <c r="R74" s="67" t="inlineStr">
        <is>
          <t>AHL</t>
        </is>
      </c>
      <c r="S74" s="70" t="n">
        <v>5000</v>
      </c>
      <c r="T74" s="71" t="n">
        <v>52.47</v>
      </c>
      <c r="U74" s="69" t="n">
        <v>45994</v>
      </c>
      <c r="V74" s="69" t="n">
        <v>46025</v>
      </c>
      <c r="W74" s="68" t="n">
        <v>1368325</v>
      </c>
      <c r="X74" s="67" t="inlineStr">
        <is>
          <t>.</t>
        </is>
      </c>
      <c r="Y74" s="67" t="inlineStr">
        <is>
          <t>Bank of New Hampshire</t>
        </is>
      </c>
      <c r="Z74" s="68" t="n">
        <v>211770271</v>
      </c>
      <c r="AA74" s="68" t="n">
        <v>85138</v>
      </c>
      <c r="AB74" s="67" t="inlineStr">
        <is>
          <t>Good Health</t>
        </is>
      </c>
      <c r="AC74" s="67" t="inlineStr">
        <is>
          <t>No Pills</t>
        </is>
      </c>
      <c r="AD74" s="67" t="inlineStr">
        <is>
          <t>Private Clinic</t>
        </is>
      </c>
      <c r="AE74" s="68" t="n">
        <v>79</v>
      </c>
      <c r="AF74" s="80">
        <f t="array" ref="AF74">IFERROR(_xlfn.LET(_xlpm.rate,INDEX(aflac!$B$2:$E$37,MATCH($AE74,aflac!$A$2:$A$37,0),IF(LOWER(TRIM($F74))="male",IF(LOWER(TRIM($K74))="yes",2,1),IF(LOWER(TRIM($K74))="yes",4,3))),_xlpm.coverage,VALUE(SUBSTITUTE(SUBSTITUTE($S74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4" s="80">
        <f t="array" ref="AG74">IFERROR(_xlfn.LET(_xlpm.rate,INDEX('aflac-modified'!$B$2:$C$32,MATCH($AE74,'aflac-modified'!$A$2:$A$32,0),IF(LOWER(TRIM($F74))="male",1,2)),_xlpm.coverage,VALUE(SUBSTITUTE(SUBSTITUTE($S74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4" s="80">
        <f t="array" ref="AH74">IFERROR(_xlfn.LET(_xlpm.rate,INDEX(SBLI!$B$2:$E$37,MATCH($AE74,SBLI!$A$2:$A$37,0),IF(LOWER(TRIM($F74))="male",IF(LOWER(TRIM($K74))="yes",2,1),IF(LOWER(TRIM($K74))="yes",4,3))),_xlpm.coverage,VALUE(SUBSTITUTE(SUBSTITUTE($S74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4" s="80">
        <f t="array" ref="AI74">IFERROR(_xlfn.LET(_xlpm.rate,INDEX('SBLI-Modified'!$B$2:$E$27,MATCH($AE74,'SBLI-Modified'!$A$2:$A$27,0),IF(LOWER(TRIM($F74))="male",IF(LOWER(TRIM($K74))="yes",2,1),IF(LOWER(TRIM($K74))="yes",4,3))),_xlpm.coverage,VALUE(SUBSTITUTE(SUBSTITUTE($S74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4" s="80">
        <f t="array" ref="AJ74">IFERROR(_xlfn.LET(_xlpm.rate,INDEX(CICA!$B$2:$C$42,MATCH($AE74,CICA!$A$2:$A$42,0),IF(LOWER(TRIM($F74))="male",1,2)),_xlpm.coverage,VALUE(SUBSTITUTE(SUBSTITUTE($S74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4" s="80">
        <f t="array" ref="AK74">IFERROR(_xlfn.LET(_xlpm.rate,INDEX('CICA-GI'!$B$2:$C$47,MATCH($AE74,'CICA-GI'!$A$2:$A$47,0),IF(LOWER(TRIM($F74))="male",1,2)),_xlpm.coverage,VALUE(SUBSTITUTE(SUBSTITUTE($S74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4" s="80">
        <f t="array" ref="AL74">IFERROR(_xlfn.LET(_xlpm.rate,INDEX(gtl!$B$2:$C$52,MATCH($AE74,gtl!$A$2:$A$52,0),IF(LOWER(TRIM($F74))="male",1,2)),_xlpm.coverage,VALUE(SUBSTITUTE(SUBSTITUTE($S74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4" s="80">
        <f t="array" ref="AM74">IFERROR(_xlfn.LET(_xlpm.rate,INDEX(TransAmerica!$B$2:$E$69,MATCH($AE74,TransAmerica!$A$2:$A$69,0),IF(LOWER(TRIM($F74))="male",IF(LOWER(TRIM($K74))="yes",2,1),IF(LOWER(TRIM($K74))="yes",4,3))),_xlpm.coverage,VALUE(SUBSTITUTE(SUBSTITUTE($S74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4" s="80">
        <f t="array" ref="AN74">IFERROR(_xlfn.LET(_xlpm.rate,INDEX('TransAmerica Graded'!$B$2:$E$64,MATCH($AE74,'TransAmerica Graded'!$A$2:$A$64,0),IF(LOWER(TRIM($F74))="male",IF(LOWER(TRIM($K74))="yes",2,1),IF(LOWER(TRIM($K74))="yes",4,3))),_xlpm.coverage,VALUE(SUBSTITUTE(SUBSTITUTE($S74,"$",""),",","")),_xlpm.base,_xlpm.rate*(_xlpm.coverage/1000),_xlpm.fee,_xlfn.XLOOKUP("TransAmerica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4" s="80">
        <f t="array" ref="AO74">IFERROR(_xlfn.LET(_xlpm.rate,INDEX(Corebridge!$B$2:$C$32,MATCH($AE74,Corebridge!$A$2:$A$32,0),IF(LOWER(TRIM($F74))="male",1,2)),_xlpm.coverage,VALUE(SUBSTITUTE(SUBSTITUTE($S74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4" s="80">
        <f t="array" ref="AP74">IFERROR(_xlfn.LET(_xlpm.rate,INDEX(amam!$B$2:$E$37,MATCH($AE74,amam!$A$2:$A$37,0),IF(LOWER(TRIM($F74))="male",IF(LOWER(TRIM($K74))="yes",2,1),IF(LOWER(TRIM($K74))="yes",4,3))),_xlpm.coverage,VALUE(SUBSTITUTE(SUBSTITUTE($S74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4" s="80">
        <f t="array" ref="AQ74">IFERROR(_xlfn.LET(_xlpm.rate,INDEX('amam-graded'!$B$2:$E$37,MATCH($AE74,'amam-graded'!$A$2:$A$37,0),IF(LOWER(TRIM($F74))="male",IF(LOWER(TRIM($K74))="yes",2,1),IF(LOWER(TRIM($K74))="yes",4,3))),_xlpm.coverage,VALUE(SUBSTITUTE(SUBSTITUTE($S74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4" s="80">
        <f t="array" ref="AR74">IFERROR(_xlfn.LET(_xlpm.rate,INDEX('amam-return-or-premium'!$B$2:$E$37,MATCH($AE74,'amam-return-or-premium'!$A$2:$A$37,0),IF(LOWER(TRIM($F74))="male",IF(LOWER(TRIM($K74))="yes",2,1),IF(LOWER(TRIM($K74))="yes",4,3))),_xlpm.coverage,VALUE(SUBSTITUTE(SUBSTITUTE($S74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4" s="80">
        <f t="array" ref="AS74">IFERROR(_xlfn.LET(_xlpm.rate,INDEX(AHL!$B$2:$E$37,MATCH($AE74,AHL!$A$2:$A$37,0),IF(LOWER(TRIM($F74))="male",IF(LOWER(TRIM($K74))="yes",2,1),IF(LOWER(TRIM($K74))="yes",4,3))),_xlpm.coverage,VALUE(SUBSTITUTE(SUBSTITUTE($S74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4" s="80">
        <f t="array" ref="AT74">IFERROR(_xlfn.LET(_xlpm.rate,INDEX('AHL-Graded'!$B$2:$E$32,MATCH($AE74,'AHL-Graded'!$A$2:$A$32,0),IF(LOWER(TRIM($F74))="male",IF(LOWER(TRIM($K74))="yes",2,1),IF(LOWER(TRIM($K74))="yes",4,3))),_xlpm.coverage,VALUE(SUBSTITUTE(SUBSTITUTE($S74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4" s="80">
        <f t="array" ref="AU74">IFERROR(_xlfn.LET(_xlpm.rate,INDEX('Royal Neighbors'!$B$2:$E$37,MATCH($AE74,'Royal Neighbors'!$A$2:$A$37,0),IF(LOWER(TRIM($F74))="male",IF(LOWER(TRIM($K74))="yes",2,1),IF(LOWER(TRIM($K74))="yes",4,3))),_xlpm.coverage,VALUE(SUBSTITUTE(SUBSTITUTE($S74,"$",""),",","")),_xlpm.base,_xlpm.rate*(_xlpm.coverage/1000),_xlpm.fee,_xlfn.XLOOKUP("Royal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4" s="80">
        <f t="array" ref="AV74">IFERROR(_xlfn.LET(_xlpm.rate,INDEX('Royal Neighbors-Graded'!$B$2:$E$37,MATCH($AE74,'Royal Neighbors-Graded'!$A$2:$A$37,0),IF(LOWER(TRIM($F74))="male",IF(LOWER(TRIM($K74))="yes",2,1),IF(LOWER(TRIM($K74))="yes",4,3))),_xlpm.coverage,VALUE(SUBSTITUTE(SUBSTITUTE($S74,"$",""),",","")),_xlpm.base,_xlpm.rate*(_xlpm.coverage/1000),_xlpm.fee,_xlfn.XLOOKUP("Royal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4" s="80">
        <f t="array" ref="AW74">IFERROR(_xlfn.LET(_xlpm.rate,INDEX('Gerber-GI'!$B$2:$C$32,MATCH($AE74,'Gerber-GI'!$A$2:$A$32,0),IF(LOWER(TRIM($F74))="male",1,2)),_xlpm.coverage,VALUE(SUBSTITUTE(SUBSTITUTE($S74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4" s="80">
        <f t="array" ref="AX74">IFERROR(_xlfn.LET(_xlpm.rate,INDEX('Mutual of Omaha'!$B$2:$E$42,MATCH($AE74,'Mutual of Omaha'!$A$2:$A$42,0),IF(LOWER(TRIM($F74))="male",IF(LOWER(TRIM($K74))="yes",2,1),IF(LOWER(TRIM($K74))="yes",4,3))),_xlpm.coverage,VALUE(SUBSTITUTE(SUBSTITUTE($S74,"$",""),",","")),_xlpm.base,_xlpm.rate*(_xlpm.coverage/1000),_xlpm.fee,_xlfn.XLOOKUP("Mutal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4" s="80">
        <f t="array" ref="AY74">IFERROR(_xlfn.LET(_xlpm.rate,INDEX('Mutual of Omaha-Graded'!$B$2:$E$37,MATCH($AE74,'Mutual of Omaha-Graded'!$A$2:$A$37,0),IF(LOWER(TRIM($F74))="male",IF(LOWER(TRIM($K74))="yes",2,1),IF(LOWER(TRIM($K74))="yes",4,3))),_xlpm.coverage,VALUE(SUBSTITUTE(SUBSTITUTE($S74,"$",""),",","")),_xlpm.base,_xlpm.rate*(_xlpm.coverage/1000),_xlpm.fee,_xlfn.XLOOKUP("Mutual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4" s="80">
        <f>AP74</f>
        <v/>
      </c>
      <c r="BA74" s="80">
        <f>IFERROR(IF(AND(AP74&gt;0,AP74&lt;VALUE(SUBSTITUTE(SUBSTITUTE($T74,"$",""),",",""))),VALUE(SUBSTITUTE(SUBSTITUTE($T74,"$",""),",",""))-AP74,""),"")</f>
        <v/>
      </c>
      <c r="BB74" s="80">
        <f>AL74</f>
        <v/>
      </c>
      <c r="BC74" s="80">
        <f>IFERROR(IF(AND(AL74&gt;0,AL74&lt;VALUE(SUBSTITUTE(SUBSTITUTE($T74,"$",""),",",""))),VALUE(SUBSTITUTE(SUBSTITUTE($T74,"$",""),",",""))-AL74,""),"")</f>
        <v/>
      </c>
      <c r="BD74">
        <f t="array" ref="BD74">IFERROR(_xlfn.LET(_xlpm.current,VALUE(SUBSTITUTE(SUBSTITUTE($T74,"$",""),",","")),_xlpm.quotes,AF74:AY74,_xlpm.lowest,_xlfn.MINIFS(_xlpm.quotes,_xlpm.quotes,"&lt;"&amp;_xlpm.current,_xlpm.quotes,"&gt;0"),IF(_xlpm.lowest="","",SUBSTITUTE(INDEX($AF$1:$AY$1,1,MATCH(_xlpm.lowest,_xlpm.quotes,0))," Monthly Quote",""))),"")</f>
        <v/>
      </c>
      <c r="BE74" s="80">
        <f t="array" ref="BE74">IFERROR(_xlfn.LET(_xlpm.current,VALUE(SUBSTITUTE(SUBSTITUTE($T74,"$",""),",","")),_xlpm.quotes,AF74:AY74,_xlpm.lowest,_xlfn.MINIFS(_xlpm.quotes,_xlpm.quotes,"&lt;"&amp;_xlpm.current,_xlpm.quotes,"&gt;0"),IF(_xlpm.lowest="","",_xlpm.current-_xlpm.lowest)),"")</f>
        <v/>
      </c>
    </row>
    <row r="75">
      <c r="A75" s="67" t="inlineStr">
        <is>
          <t>Lurline</t>
        </is>
      </c>
      <c r="B75" s="67" t="inlineStr">
        <is>
          <t>Fergerson</t>
        </is>
      </c>
      <c r="C75" s="68" t="n">
        <v>3013508310</v>
      </c>
      <c r="D75" s="68" t="n">
        <v>88</v>
      </c>
      <c r="E75" s="69" t="n">
        <v>13762</v>
      </c>
      <c r="F75" s="67" t="inlineStr">
        <is>
          <t>Female</t>
        </is>
      </c>
      <c r="G75" s="67" t="inlineStr">
        <is>
          <t>7602 Shady Glen Ct Capitol Heights, MD 20743</t>
        </is>
      </c>
      <c r="H75" s="67" t="inlineStr">
        <is>
          <t>LA</t>
        </is>
      </c>
      <c r="I75" s="73" t="n">
        <v>46144</v>
      </c>
      <c r="J75" s="68" t="n">
        <v>105</v>
      </c>
      <c r="K75" s="67" t="inlineStr">
        <is>
          <t>No</t>
        </is>
      </c>
      <c r="L75" s="67" t="inlineStr">
        <is>
          <t>....</t>
        </is>
      </c>
      <c r="M75" s="67" t="inlineStr">
        <is>
          <t>Leave money For family</t>
        </is>
      </c>
      <c r="N75" s="67" t="inlineStr">
        <is>
          <t>Laura Young 7 4 1965</t>
        </is>
      </c>
      <c r="O75" s="67" t="inlineStr">
        <is>
          <t>Daughter</t>
        </is>
      </c>
      <c r="P75" s="67" t="inlineStr">
        <is>
          <t>...</t>
        </is>
      </c>
      <c r="Q75" s="67" t="inlineStr">
        <is>
          <t>..</t>
        </is>
      </c>
      <c r="R75" s="67" t="inlineStr">
        <is>
          <t>AHL</t>
        </is>
      </c>
      <c r="S75" s="70" t="n">
        <v>2500</v>
      </c>
      <c r="T75" s="71" t="n">
        <v>81.89</v>
      </c>
      <c r="U75" s="69" t="n">
        <v>46006</v>
      </c>
      <c r="V75" s="69" t="n">
        <v>46006</v>
      </c>
      <c r="W75" s="68" t="n">
        <v>438522192</v>
      </c>
      <c r="X75" s="67" t="inlineStr">
        <is>
          <t>,,,</t>
        </is>
      </c>
      <c r="Y75" s="67" t="inlineStr">
        <is>
          <t>Andews Federal credit union</t>
        </is>
      </c>
      <c r="Z75" s="68" t="n">
        <v>255074111</v>
      </c>
      <c r="AA75" s="72" t="n">
        <v>1400000000000</v>
      </c>
      <c r="AB75" s="67" t="inlineStr">
        <is>
          <t>no</t>
        </is>
      </c>
      <c r="AC75" s="67" t="inlineStr">
        <is>
          <t>no</t>
        </is>
      </c>
      <c r="AD75" s="67" t="inlineStr">
        <is>
          <t>Dr Augustine</t>
        </is>
      </c>
      <c r="AE75" s="68" t="n">
        <v>88</v>
      </c>
      <c r="AF75" s="80">
        <f t="array" ref="AF75">IFERROR(_xlfn.LET(_xlpm.rate,INDEX(aflac!$B$2:$E$37,MATCH($AE75,aflac!$A$2:$A$37,0),IF(LOWER(TRIM($F75))="male",IF(LOWER(TRIM($K75))="yes",2,1),IF(LOWER(TRIM($K75))="yes",4,3))),_xlpm.coverage,VALUE(SUBSTITUTE(SUBSTITUTE($S75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5" s="80">
        <f t="array" ref="AG75">IFERROR(_xlfn.LET(_xlpm.rate,INDEX('aflac-modified'!$B$2:$C$32,MATCH($AE75,'aflac-modified'!$A$2:$A$32,0),IF(LOWER(TRIM($F75))="male",1,2)),_xlpm.coverage,VALUE(SUBSTITUTE(SUBSTITUTE($S75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5" s="80">
        <f t="array" ref="AH75">IFERROR(_xlfn.LET(_xlpm.rate,INDEX(SBLI!$B$2:$E$37,MATCH($AE75,SBLI!$A$2:$A$37,0),IF(LOWER(TRIM($F75))="male",IF(LOWER(TRIM($K75))="yes",2,1),IF(LOWER(TRIM($K75))="yes",4,3))),_xlpm.coverage,VALUE(SUBSTITUTE(SUBSTITUTE($S75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5" s="80">
        <f t="array" ref="AI75">IFERROR(_xlfn.LET(_xlpm.rate,INDEX('SBLI-Modified'!$B$2:$E$27,MATCH($AE75,'SBLI-Modified'!$A$2:$A$27,0),IF(LOWER(TRIM($F75))="male",IF(LOWER(TRIM($K75))="yes",2,1),IF(LOWER(TRIM($K75))="yes",4,3))),_xlpm.coverage,VALUE(SUBSTITUTE(SUBSTITUTE($S75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5" s="80">
        <f t="array" ref="AJ75">IFERROR(_xlfn.LET(_xlpm.rate,INDEX(CICA!$B$2:$C$42,MATCH($AE75,CICA!$A$2:$A$42,0),IF(LOWER(TRIM($F75))="male",1,2)),_xlpm.coverage,VALUE(SUBSTITUTE(SUBSTITUTE($S75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5" s="80">
        <f t="array" ref="AK75">IFERROR(_xlfn.LET(_xlpm.rate,INDEX('CICA-GI'!$B$2:$C$47,MATCH($AE75,'CICA-GI'!$A$2:$A$47,0),IF(LOWER(TRIM($F75))="male",1,2)),_xlpm.coverage,VALUE(SUBSTITUTE(SUBSTITUTE($S75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5" s="80">
        <f t="array" ref="AL75">IFERROR(_xlfn.LET(_xlpm.rate,INDEX(gtl!$B$2:$C$52,MATCH($AE75,gtl!$A$2:$A$52,0),IF(LOWER(TRIM($F75))="male",1,2)),_xlpm.coverage,VALUE(SUBSTITUTE(SUBSTITUTE($S75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5" s="80">
        <f t="array" ref="AM75">IFERROR(_xlfn.LET(_xlpm.rate,INDEX(TransAmerica!$B$2:$E$69,MATCH($AE75,TransAmerica!$A$2:$A$69,0),IF(LOWER(TRIM($F75))="male",IF(LOWER(TRIM($K75))="yes",2,1),IF(LOWER(TRIM($K75))="yes",4,3))),_xlpm.coverage,VALUE(SUBSTITUTE(SUBSTITUTE($S75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5" s="80">
        <f t="array" ref="AN75">IFERROR(_xlfn.LET(_xlpm.rate,INDEX('TransAmerica Graded'!$B$2:$E$64,MATCH($AE75,'TransAmerica Graded'!$A$2:$A$64,0),IF(LOWER(TRIM($F75))="male",IF(LOWER(TRIM($K75))="yes",2,1),IF(LOWER(TRIM($K75))="yes",4,3))),_xlpm.coverage,VALUE(SUBSTITUTE(SUBSTITUTE($S75,"$",""),",","")),_xlpm.base,_xlpm.rate*(_xlpm.coverage/1000),_xlpm.fee,_xlfn.XLOOKUP("TransAmerica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5" s="80">
        <f t="array" ref="AO75">IFERROR(_xlfn.LET(_xlpm.rate,INDEX(Corebridge!$B$2:$C$32,MATCH($AE75,Corebridge!$A$2:$A$32,0),IF(LOWER(TRIM($F75))="male",1,2)),_xlpm.coverage,VALUE(SUBSTITUTE(SUBSTITUTE($S75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5" s="80">
        <f t="array" ref="AP75">IFERROR(_xlfn.LET(_xlpm.rate,INDEX(amam!$B$2:$E$37,MATCH($AE75,amam!$A$2:$A$37,0),IF(LOWER(TRIM($F75))="male",IF(LOWER(TRIM($K75))="yes",2,1),IF(LOWER(TRIM($K75))="yes",4,3))),_xlpm.coverage,VALUE(SUBSTITUTE(SUBSTITUTE($S75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5" s="80">
        <f t="array" ref="AQ75">IFERROR(_xlfn.LET(_xlpm.rate,INDEX('amam-graded'!$B$2:$E$37,MATCH($AE75,'amam-graded'!$A$2:$A$37,0),IF(LOWER(TRIM($F75))="male",IF(LOWER(TRIM($K75))="yes",2,1),IF(LOWER(TRIM($K75))="yes",4,3))),_xlpm.coverage,VALUE(SUBSTITUTE(SUBSTITUTE($S75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5" s="80">
        <f t="array" ref="AR75">IFERROR(_xlfn.LET(_xlpm.rate,INDEX('amam-return-or-premium'!$B$2:$E$37,MATCH($AE75,'amam-return-or-premium'!$A$2:$A$37,0),IF(LOWER(TRIM($F75))="male",IF(LOWER(TRIM($K75))="yes",2,1),IF(LOWER(TRIM($K75))="yes",4,3))),_xlpm.coverage,VALUE(SUBSTITUTE(SUBSTITUTE($S75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5" s="80">
        <f t="array" ref="AS75">IFERROR(_xlfn.LET(_xlpm.rate,INDEX(AHL!$B$2:$E$37,MATCH($AE75,AHL!$A$2:$A$37,0),IF(LOWER(TRIM($F75))="male",IF(LOWER(TRIM($K75))="yes",2,1),IF(LOWER(TRIM($K75))="yes",4,3))),_xlpm.coverage,VALUE(SUBSTITUTE(SUBSTITUTE($S75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5" s="80">
        <f t="array" ref="AT75">IFERROR(_xlfn.LET(_xlpm.rate,INDEX('AHL-Graded'!$B$2:$E$32,MATCH($AE75,'AHL-Graded'!$A$2:$A$32,0),IF(LOWER(TRIM($F75))="male",IF(LOWER(TRIM($K75))="yes",2,1),IF(LOWER(TRIM($K75))="yes",4,3))),_xlpm.coverage,VALUE(SUBSTITUTE(SUBSTITUTE($S75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5" s="80">
        <f t="array" ref="AU75">IFERROR(_xlfn.LET(_xlpm.rate,INDEX('Royal Neighbors'!$B$2:$E$37,MATCH($AE75,'Royal Neighbors'!$A$2:$A$37,0),IF(LOWER(TRIM($F75))="male",IF(LOWER(TRIM($K75))="yes",2,1),IF(LOWER(TRIM($K75))="yes",4,3))),_xlpm.coverage,VALUE(SUBSTITUTE(SUBSTITUTE($S75,"$",""),",","")),_xlpm.base,_xlpm.rate*(_xlpm.coverage/1000),_xlpm.fee,_xlfn.XLOOKUP("Royal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5" s="80">
        <f t="array" ref="AV75">IFERROR(_xlfn.LET(_xlpm.rate,INDEX('Royal Neighbors-Graded'!$B$2:$E$37,MATCH($AE75,'Royal Neighbors-Graded'!$A$2:$A$37,0),IF(LOWER(TRIM($F75))="male",IF(LOWER(TRIM($K75))="yes",2,1),IF(LOWER(TRIM($K75))="yes",4,3))),_xlpm.coverage,VALUE(SUBSTITUTE(SUBSTITUTE($S75,"$",""),",","")),_xlpm.base,_xlpm.rate*(_xlpm.coverage/1000),_xlpm.fee,_xlfn.XLOOKUP("Royal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5" s="80">
        <f t="array" ref="AW75">IFERROR(_xlfn.LET(_xlpm.rate,INDEX('Gerber-GI'!$B$2:$C$32,MATCH($AE75,'Gerber-GI'!$A$2:$A$32,0),IF(LOWER(TRIM($F75))="male",1,2)),_xlpm.coverage,VALUE(SUBSTITUTE(SUBSTITUTE($S75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5" s="80">
        <f t="array" ref="AX75">IFERROR(_xlfn.LET(_xlpm.rate,INDEX('Mutual of Omaha'!$B$2:$E$42,MATCH($AE75,'Mutual of Omaha'!$A$2:$A$42,0),IF(LOWER(TRIM($F75))="male",IF(LOWER(TRIM($K75))="yes",2,1),IF(LOWER(TRIM($K75))="yes",4,3))),_xlpm.coverage,VALUE(SUBSTITUTE(SUBSTITUTE($S75,"$",""),",","")),_xlpm.base,_xlpm.rate*(_xlpm.coverage/1000),_xlpm.fee,_xlfn.XLOOKUP("Mutal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5" s="80">
        <f t="array" ref="AY75">IFERROR(_xlfn.LET(_xlpm.rate,INDEX('Mutual of Omaha-Graded'!$B$2:$E$37,MATCH($AE75,'Mutual of Omaha-Graded'!$A$2:$A$37,0),IF(LOWER(TRIM($F75))="male",IF(LOWER(TRIM($K75))="yes",2,1),IF(LOWER(TRIM($K75))="yes",4,3))),_xlpm.coverage,VALUE(SUBSTITUTE(SUBSTITUTE($S75,"$",""),",","")),_xlpm.base,_xlpm.rate*(_xlpm.coverage/1000),_xlpm.fee,_xlfn.XLOOKUP("Mutual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5" s="80">
        <f>AP75</f>
        <v/>
      </c>
      <c r="BA75" s="80">
        <f>IFERROR(IF(AND(AP75&gt;0,AP75&lt;VALUE(SUBSTITUTE(SUBSTITUTE($T75,"$",""),",",""))),VALUE(SUBSTITUTE(SUBSTITUTE($T75,"$",""),",",""))-AP75,""),"")</f>
        <v/>
      </c>
      <c r="BB75" s="80">
        <f>AL75</f>
        <v/>
      </c>
      <c r="BC75" s="80">
        <f>IFERROR(IF(AND(AL75&gt;0,AL75&lt;VALUE(SUBSTITUTE(SUBSTITUTE($T75,"$",""),",",""))),VALUE(SUBSTITUTE(SUBSTITUTE($T75,"$",""),",",""))-AL75,""),"")</f>
        <v/>
      </c>
      <c r="BD75">
        <f t="array" ref="BD75">IFERROR(_xlfn.LET(_xlpm.current,VALUE(SUBSTITUTE(SUBSTITUTE($T75,"$",""),",","")),_xlpm.quotes,AF75:AY75,_xlpm.lowest,_xlfn.MINIFS(_xlpm.quotes,_xlpm.quotes,"&lt;"&amp;_xlpm.current,_xlpm.quotes,"&gt;0"),IF(_xlpm.lowest="","",SUBSTITUTE(INDEX($AF$1:$AY$1,1,MATCH(_xlpm.lowest,_xlpm.quotes,0))," Monthly Quote",""))),"")</f>
        <v/>
      </c>
      <c r="BE75" s="80">
        <f t="array" ref="BE75">IFERROR(_xlfn.LET(_xlpm.current,VALUE(SUBSTITUTE(SUBSTITUTE($T75,"$",""),",","")),_xlpm.quotes,AF75:AY75,_xlpm.lowest,_xlfn.MINIFS(_xlpm.quotes,_xlpm.quotes,"&lt;"&amp;_xlpm.current,_xlpm.quotes,"&gt;0"),IF(_xlpm.lowest="","",_xlpm.current-_xlpm.lowest)),"")</f>
        <v/>
      </c>
    </row>
    <row r="76">
      <c r="A76" s="67" t="inlineStr">
        <is>
          <t>Rosemery C</t>
        </is>
      </c>
      <c r="B76" s="67" t="inlineStr">
        <is>
          <t>Kinney</t>
        </is>
      </c>
      <c r="C76" s="68" t="n">
        <v>7737855541</v>
      </c>
      <c r="D76" s="68" t="n">
        <v>77</v>
      </c>
      <c r="E76" s="69" t="n">
        <v>17819</v>
      </c>
      <c r="F76" s="67" t="inlineStr">
        <is>
          <t>Female</t>
        </is>
      </c>
      <c r="G76" s="67" t="inlineStr">
        <is>
          <t>645 E 101st Pl Chicago IL 60628</t>
        </is>
      </c>
      <c r="H76" s="67" t="inlineStr">
        <is>
          <t>AL</t>
        </is>
      </c>
      <c r="I76" s="68" t="n">
        <v>5.5</v>
      </c>
      <c r="J76" s="68" t="n">
        <v>150</v>
      </c>
      <c r="K76" s="67" t="inlineStr">
        <is>
          <t>No</t>
        </is>
      </c>
      <c r="L76" s="67" t="n"/>
      <c r="M76" s="67" t="inlineStr">
        <is>
          <t>Cremation</t>
        </is>
      </c>
      <c r="N76" s="67" t="inlineStr">
        <is>
          <t>Jaaron Foster - 08 1 1970</t>
        </is>
      </c>
      <c r="O76" s="67" t="inlineStr">
        <is>
          <t>Son</t>
        </is>
      </c>
      <c r="P76" s="67" t="inlineStr">
        <is>
          <t>Tara Jackson - 01 3 1998</t>
        </is>
      </c>
      <c r="Q76" s="67" t="inlineStr">
        <is>
          <t>Niece</t>
        </is>
      </c>
      <c r="R76" s="67" t="inlineStr">
        <is>
          <t>AHL</t>
        </is>
      </c>
      <c r="S76" s="70" t="n">
        <v>5000</v>
      </c>
      <c r="T76" s="71" t="n">
        <v>45.92</v>
      </c>
      <c r="U76" s="69" t="n">
        <v>46001</v>
      </c>
      <c r="V76" s="69" t="n">
        <v>46032</v>
      </c>
      <c r="W76" s="68" t="n">
        <v>418669872</v>
      </c>
      <c r="X76" s="67" t="inlineStr">
        <is>
          <t>no</t>
        </is>
      </c>
      <c r="Y76" s="67" t="inlineStr">
        <is>
          <t>Old National Bank</t>
        </is>
      </c>
      <c r="Z76" s="68" t="n">
        <v>86300012</v>
      </c>
      <c r="AA76" s="68" t="n">
        <v>625285002</v>
      </c>
      <c r="AB76" s="67" t="inlineStr">
        <is>
          <t>no</t>
        </is>
      </c>
      <c r="AC76" s="67" t="inlineStr">
        <is>
          <t>no</t>
        </is>
      </c>
      <c r="AD76" s="67" t="inlineStr">
        <is>
          <t>no</t>
        </is>
      </c>
      <c r="AE76" s="68" t="n">
        <v>77</v>
      </c>
      <c r="AF76" s="80">
        <f t="array" ref="AF76">IFERROR(_xlfn.LET(_xlpm.rate,INDEX(aflac!$B$2:$E$37,MATCH($AE76,aflac!$A$2:$A$37,0),IF(LOWER(TRIM($F76))="male",IF(LOWER(TRIM($K76))="yes",2,1),IF(LOWER(TRIM($K76))="yes",4,3))),_xlpm.coverage,VALUE(SUBSTITUTE(SUBSTITUTE($S76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6" s="80">
        <f t="array" ref="AG76">IFERROR(_xlfn.LET(_xlpm.rate,INDEX('aflac-modified'!$B$2:$C$32,MATCH($AE76,'aflac-modified'!$A$2:$A$32,0),IF(LOWER(TRIM($F76))="male",1,2)),_xlpm.coverage,VALUE(SUBSTITUTE(SUBSTITUTE($S76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6" s="80">
        <f t="array" ref="AH76">IFERROR(_xlfn.LET(_xlpm.rate,INDEX(SBLI!$B$2:$E$37,MATCH($AE76,SBLI!$A$2:$A$37,0),IF(LOWER(TRIM($F76))="male",IF(LOWER(TRIM($K76))="yes",2,1),IF(LOWER(TRIM($K76))="yes",4,3))),_xlpm.coverage,VALUE(SUBSTITUTE(SUBSTITUTE($S76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6" s="80">
        <f t="array" ref="AI76">IFERROR(_xlfn.LET(_xlpm.rate,INDEX('SBLI-Modified'!$B$2:$E$27,MATCH($AE76,'SBLI-Modified'!$A$2:$A$27,0),IF(LOWER(TRIM($F76))="male",IF(LOWER(TRIM($K76))="yes",2,1),IF(LOWER(TRIM($K76))="yes",4,3))),_xlpm.coverage,VALUE(SUBSTITUTE(SUBSTITUTE($S76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6" s="80">
        <f t="array" ref="AJ76">IFERROR(_xlfn.LET(_xlpm.rate,INDEX(CICA!$B$2:$C$42,MATCH($AE76,CICA!$A$2:$A$42,0),IF(LOWER(TRIM($F76))="male",1,2)),_xlpm.coverage,VALUE(SUBSTITUTE(SUBSTITUTE($S76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6" s="80">
        <f t="array" ref="AK76">IFERROR(_xlfn.LET(_xlpm.rate,INDEX('CICA-GI'!$B$2:$C$47,MATCH($AE76,'CICA-GI'!$A$2:$A$47,0),IF(LOWER(TRIM($F76))="male",1,2)),_xlpm.coverage,VALUE(SUBSTITUTE(SUBSTITUTE($S76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6" s="80">
        <f t="array" ref="AL76">IFERROR(_xlfn.LET(_xlpm.rate,INDEX(gtl!$B$2:$C$52,MATCH($AE76,gtl!$A$2:$A$52,0),IF(LOWER(TRIM($F76))="male",1,2)),_xlpm.coverage,VALUE(SUBSTITUTE(SUBSTITUTE($S76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6" s="80">
        <f t="array" ref="AM76">IFERROR(_xlfn.LET(_xlpm.rate,INDEX(TransAmerica!$B$2:$E$69,MATCH($AE76,TransAmerica!$A$2:$A$69,0),IF(LOWER(TRIM($F76))="male",IF(LOWER(TRIM($K76))="yes",2,1),IF(LOWER(TRIM($K76))="yes",4,3))),_xlpm.coverage,VALUE(SUBSTITUTE(SUBSTITUTE($S76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6" s="80">
        <f t="array" ref="AN76">IFERROR(_xlfn.LET(_xlpm.rate,INDEX('TransAmerica Graded'!$B$2:$E$64,MATCH($AE76,'TransAmerica Graded'!$A$2:$A$64,0),IF(LOWER(TRIM($F76))="male",IF(LOWER(TRIM($K76))="yes",2,1),IF(LOWER(TRIM($K76))="yes",4,3))),_xlpm.coverage,VALUE(SUBSTITUTE(SUBSTITUTE($S76,"$",""),",","")),_xlpm.base,_xlpm.rate*(_xlpm.coverage/1000),_xlpm.fee,_xlfn.XLOOKUP("TransAmerica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6" s="80">
        <f t="array" ref="AO76">IFERROR(_xlfn.LET(_xlpm.rate,INDEX(Corebridge!$B$2:$C$32,MATCH($AE76,Corebridge!$A$2:$A$32,0),IF(LOWER(TRIM($F76))="male",1,2)),_xlpm.coverage,VALUE(SUBSTITUTE(SUBSTITUTE($S76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6" s="80">
        <f t="array" ref="AP76">IFERROR(_xlfn.LET(_xlpm.rate,INDEX(amam!$B$2:$E$37,MATCH($AE76,amam!$A$2:$A$37,0),IF(LOWER(TRIM($F76))="male",IF(LOWER(TRIM($K76))="yes",2,1),IF(LOWER(TRIM($K76))="yes",4,3))),_xlpm.coverage,VALUE(SUBSTITUTE(SUBSTITUTE($S76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6" s="80">
        <f t="array" ref="AQ76">IFERROR(_xlfn.LET(_xlpm.rate,INDEX('amam-graded'!$B$2:$E$37,MATCH($AE76,'amam-graded'!$A$2:$A$37,0),IF(LOWER(TRIM($F76))="male",IF(LOWER(TRIM($K76))="yes",2,1),IF(LOWER(TRIM($K76))="yes",4,3))),_xlpm.coverage,VALUE(SUBSTITUTE(SUBSTITUTE($S76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6" s="80">
        <f t="array" ref="AR76">IFERROR(_xlfn.LET(_xlpm.rate,INDEX('amam-return-or-premium'!$B$2:$E$37,MATCH($AE76,'amam-return-or-premium'!$A$2:$A$37,0),IF(LOWER(TRIM($F76))="male",IF(LOWER(TRIM($K76))="yes",2,1),IF(LOWER(TRIM($K76))="yes",4,3))),_xlpm.coverage,VALUE(SUBSTITUTE(SUBSTITUTE($S76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6" s="80">
        <f t="array" ref="AS76">IFERROR(_xlfn.LET(_xlpm.rate,INDEX(AHL!$B$2:$E$37,MATCH($AE76,AHL!$A$2:$A$37,0),IF(LOWER(TRIM($F76))="male",IF(LOWER(TRIM($K76))="yes",2,1),IF(LOWER(TRIM($K76))="yes",4,3))),_xlpm.coverage,VALUE(SUBSTITUTE(SUBSTITUTE($S76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6" s="80">
        <f t="array" ref="AT76">IFERROR(_xlfn.LET(_xlpm.rate,INDEX('AHL-Graded'!$B$2:$E$32,MATCH($AE76,'AHL-Graded'!$A$2:$A$32,0),IF(LOWER(TRIM($F76))="male",IF(LOWER(TRIM($K76))="yes",2,1),IF(LOWER(TRIM($K76))="yes",4,3))),_xlpm.coverage,VALUE(SUBSTITUTE(SUBSTITUTE($S76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6" s="80">
        <f t="array" ref="AU76">IFERROR(_xlfn.LET(_xlpm.rate,INDEX('Royal Neighbors'!$B$2:$E$37,MATCH($AE76,'Royal Neighbors'!$A$2:$A$37,0),IF(LOWER(TRIM($F76))="male",IF(LOWER(TRIM($K76))="yes",2,1),IF(LOWER(TRIM($K76))="yes",4,3))),_xlpm.coverage,VALUE(SUBSTITUTE(SUBSTITUTE($S76,"$",""),",","")),_xlpm.base,_xlpm.rate*(_xlpm.coverage/1000),_xlpm.fee,_xlfn.XLOOKUP("Royal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6" s="80">
        <f t="array" ref="AV76">IFERROR(_xlfn.LET(_xlpm.rate,INDEX('Royal Neighbors-Graded'!$B$2:$E$37,MATCH($AE76,'Royal Neighbors-Graded'!$A$2:$A$37,0),IF(LOWER(TRIM($F76))="male",IF(LOWER(TRIM($K76))="yes",2,1),IF(LOWER(TRIM($K76))="yes",4,3))),_xlpm.coverage,VALUE(SUBSTITUTE(SUBSTITUTE($S76,"$",""),",","")),_xlpm.base,_xlpm.rate*(_xlpm.coverage/1000),_xlpm.fee,_xlfn.XLOOKUP("Royal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6" s="80">
        <f t="array" ref="AW76">IFERROR(_xlfn.LET(_xlpm.rate,INDEX('Gerber-GI'!$B$2:$C$32,MATCH($AE76,'Gerber-GI'!$A$2:$A$32,0),IF(LOWER(TRIM($F76))="male",1,2)),_xlpm.coverage,VALUE(SUBSTITUTE(SUBSTITUTE($S76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6" s="80">
        <f t="array" ref="AX76">IFERROR(_xlfn.LET(_xlpm.rate,INDEX('Mutual of Omaha'!$B$2:$E$42,MATCH($AE76,'Mutual of Omaha'!$A$2:$A$42,0),IF(LOWER(TRIM($F76))="male",IF(LOWER(TRIM($K76))="yes",2,1),IF(LOWER(TRIM($K76))="yes",4,3))),_xlpm.coverage,VALUE(SUBSTITUTE(SUBSTITUTE($S76,"$",""),",","")),_xlpm.base,_xlpm.rate*(_xlpm.coverage/1000),_xlpm.fee,_xlfn.XLOOKUP("Mutal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6" s="80">
        <f t="array" ref="AY76">IFERROR(_xlfn.LET(_xlpm.rate,INDEX('Mutual of Omaha-Graded'!$B$2:$E$37,MATCH($AE76,'Mutual of Omaha-Graded'!$A$2:$A$37,0),IF(LOWER(TRIM($F76))="male",IF(LOWER(TRIM($K76))="yes",2,1),IF(LOWER(TRIM($K76))="yes",4,3))),_xlpm.coverage,VALUE(SUBSTITUTE(SUBSTITUTE($S76,"$",""),",","")),_xlpm.base,_xlpm.rate*(_xlpm.coverage/1000),_xlpm.fee,_xlfn.XLOOKUP("Mutual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6" s="80">
        <f>AP76</f>
        <v/>
      </c>
      <c r="BA76" s="80">
        <f>IFERROR(IF(AND(AP76&gt;0,AP76&lt;VALUE(SUBSTITUTE(SUBSTITUTE($T76,"$",""),",",""))),VALUE(SUBSTITUTE(SUBSTITUTE($T76,"$",""),",",""))-AP76,""),"")</f>
        <v/>
      </c>
      <c r="BB76" s="80">
        <f>AL76</f>
        <v/>
      </c>
      <c r="BC76" s="80">
        <f>IFERROR(IF(AND(AL76&gt;0,AL76&lt;VALUE(SUBSTITUTE(SUBSTITUTE($T76,"$",""),",",""))),VALUE(SUBSTITUTE(SUBSTITUTE($T76,"$",""),",",""))-AL76,""),"")</f>
        <v/>
      </c>
      <c r="BD76">
        <f t="array" ref="BD76">IFERROR(_xlfn.LET(_xlpm.current,VALUE(SUBSTITUTE(SUBSTITUTE($T76,"$",""),",","")),_xlpm.quotes,AF76:AY76,_xlpm.lowest,_xlfn.MINIFS(_xlpm.quotes,_xlpm.quotes,"&lt;"&amp;_xlpm.current,_xlpm.quotes,"&gt;0"),IF(_xlpm.lowest="","",SUBSTITUTE(INDEX($AF$1:$AY$1,1,MATCH(_xlpm.lowest,_xlpm.quotes,0))," Monthly Quote",""))),"")</f>
        <v/>
      </c>
      <c r="BE76" s="80">
        <f t="array" ref="BE76">IFERROR(_xlfn.LET(_xlpm.current,VALUE(SUBSTITUTE(SUBSTITUTE($T76,"$",""),",","")),_xlpm.quotes,AF76:AY76,_xlpm.lowest,_xlfn.MINIFS(_xlpm.quotes,_xlpm.quotes,"&lt;"&amp;_xlpm.current,_xlpm.quotes,"&gt;0"),IF(_xlpm.lowest="","",_xlpm.current-_xlpm.lowest)),"")</f>
        <v/>
      </c>
    </row>
    <row r="77">
      <c r="A77" s="67" t="inlineStr">
        <is>
          <t>Mary Glenda</t>
        </is>
      </c>
      <c r="B77" s="67" t="inlineStr">
        <is>
          <t>Harmon</t>
        </is>
      </c>
      <c r="C77" s="68" t="n">
        <v>3342762034</v>
      </c>
      <c r="D77" s="68" t="n">
        <v>81</v>
      </c>
      <c r="E77" s="69" t="n">
        <v>16252</v>
      </c>
      <c r="F77" s="67" t="inlineStr">
        <is>
          <t>female</t>
        </is>
      </c>
      <c r="G77" s="67" t="inlineStr">
        <is>
          <t>5430 Co Rd 114 La Fayette, AL 36862</t>
        </is>
      </c>
      <c r="H77" s="67" t="inlineStr">
        <is>
          <t>AL</t>
        </is>
      </c>
      <c r="I77" s="68" t="n">
        <v>5.4</v>
      </c>
      <c r="J77" s="68" t="n">
        <v>130</v>
      </c>
      <c r="K77" s="67" t="inlineStr">
        <is>
          <t>No</t>
        </is>
      </c>
      <c r="L77" s="67" t="n"/>
      <c r="M77" s="67" t="inlineStr">
        <is>
          <t>Cremation</t>
        </is>
      </c>
      <c r="N77" s="67" t="inlineStr">
        <is>
          <t>(Harold Harmon - 79)</t>
        </is>
      </c>
      <c r="O77" s="67" t="inlineStr">
        <is>
          <t>Brother</t>
        </is>
      </c>
      <c r="P77" s="67" t="n"/>
      <c r="Q77" s="67" t="n"/>
      <c r="R77" s="67" t="inlineStr">
        <is>
          <t>AHL</t>
        </is>
      </c>
      <c r="S77" s="70" t="n">
        <v>3000</v>
      </c>
      <c r="T77" s="71" t="n">
        <v>37.25</v>
      </c>
      <c r="U77" s="69" t="n">
        <v>45992</v>
      </c>
      <c r="V77" s="69" t="n">
        <v>46023</v>
      </c>
      <c r="W77" s="68" t="n">
        <v>422605507</v>
      </c>
      <c r="X77" s="67" t="inlineStr">
        <is>
          <t>no</t>
        </is>
      </c>
      <c r="Y77" s="67" t="inlineStr">
        <is>
          <t>FARMERS MERCHANTS BANK</t>
        </is>
      </c>
      <c r="Z77" s="68" t="n">
        <v>62201711</v>
      </c>
      <c r="AA77" s="68" t="n">
        <v>1091289</v>
      </c>
      <c r="AB77" s="67" t="inlineStr">
        <is>
          <t>no</t>
        </is>
      </c>
      <c r="AC77" s="67" t="inlineStr">
        <is>
          <t>no</t>
        </is>
      </c>
      <c r="AD77" s="67" t="inlineStr">
        <is>
          <t>Dr. Terry Vester, MD - Lafayette, AL</t>
        </is>
      </c>
      <c r="AE77" s="68" t="n">
        <v>81</v>
      </c>
      <c r="AF77" s="80">
        <f t="array" ref="AF77">IFERROR(_xlfn.LET(_xlpm.rate,INDEX(aflac!$B$2:$E$37,MATCH($AE77,aflac!$A$2:$A$37,0),IF(LOWER(TRIM($F77))="male",IF(LOWER(TRIM($K77))="yes",2,1),IF(LOWER(TRIM($K77))="yes",4,3))),_xlpm.coverage,VALUE(SUBSTITUTE(SUBSTITUTE($S77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7" s="80">
        <f t="array" ref="AG77">IFERROR(_xlfn.LET(_xlpm.rate,INDEX('aflac-modified'!$B$2:$C$32,MATCH($AE77,'aflac-modified'!$A$2:$A$32,0),IF(LOWER(TRIM($F77))="male",1,2)),_xlpm.coverage,VALUE(SUBSTITUTE(SUBSTITUTE($S77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7" s="80">
        <f t="array" ref="AH77">IFERROR(_xlfn.LET(_xlpm.rate,INDEX(SBLI!$B$2:$E$37,MATCH($AE77,SBLI!$A$2:$A$37,0),IF(LOWER(TRIM($F77))="male",IF(LOWER(TRIM($K77))="yes",2,1),IF(LOWER(TRIM($K77))="yes",4,3))),_xlpm.coverage,VALUE(SUBSTITUTE(SUBSTITUTE($S77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7" s="80">
        <f t="array" ref="AI77">IFERROR(_xlfn.LET(_xlpm.rate,INDEX('SBLI-Modified'!$B$2:$E$27,MATCH($AE77,'SBLI-Modified'!$A$2:$A$27,0),IF(LOWER(TRIM($F77))="male",IF(LOWER(TRIM($K77))="yes",2,1),IF(LOWER(TRIM($K77))="yes",4,3))),_xlpm.coverage,VALUE(SUBSTITUTE(SUBSTITUTE($S77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7" s="80">
        <f t="array" ref="AJ77">IFERROR(_xlfn.LET(_xlpm.rate,INDEX(CICA!$B$2:$C$42,MATCH($AE77,CICA!$A$2:$A$42,0),IF(LOWER(TRIM($F77))="male",1,2)),_xlpm.coverage,VALUE(SUBSTITUTE(SUBSTITUTE($S77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7" s="80">
        <f t="array" ref="AK77">IFERROR(_xlfn.LET(_xlpm.rate,INDEX('CICA-GI'!$B$2:$C$47,MATCH($AE77,'CICA-GI'!$A$2:$A$47,0),IF(LOWER(TRIM($F77))="male",1,2)),_xlpm.coverage,VALUE(SUBSTITUTE(SUBSTITUTE($S77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7" s="80">
        <f t="array" ref="AL77">IFERROR(_xlfn.LET(_xlpm.rate,INDEX(gtl!$B$2:$C$52,MATCH($AE77,gtl!$A$2:$A$52,0),IF(LOWER(TRIM($F77))="male",1,2)),_xlpm.coverage,VALUE(SUBSTITUTE(SUBSTITUTE($S77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7" s="80">
        <f t="array" ref="AM77">IFERROR(_xlfn.LET(_xlpm.rate,INDEX(TransAmerica!$B$2:$E$69,MATCH($AE77,TransAmerica!$A$2:$A$69,0),IF(LOWER(TRIM($F77))="male",IF(LOWER(TRIM($K77))="yes",2,1),IF(LOWER(TRIM($K77))="yes",4,3))),_xlpm.coverage,VALUE(SUBSTITUTE(SUBSTITUTE($S77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7" s="80">
        <f t="array" ref="AN77">IFERROR(_xlfn.LET(_xlpm.rate,INDEX('TransAmerica Graded'!$B$2:$E$64,MATCH($AE77,'TransAmerica Graded'!$A$2:$A$64,0),IF(LOWER(TRIM($F77))="male",IF(LOWER(TRIM($K77))="yes",2,1),IF(LOWER(TRIM($K77))="yes",4,3))),_xlpm.coverage,VALUE(SUBSTITUTE(SUBSTITUTE($S77,"$",""),",","")),_xlpm.base,_xlpm.rate*(_xlpm.coverage/1000),_xlpm.fee,_xlfn.XLOOKUP("TransAmerica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7" s="80">
        <f t="array" ref="AO77">IFERROR(_xlfn.LET(_xlpm.rate,INDEX(Corebridge!$B$2:$C$32,MATCH($AE77,Corebridge!$A$2:$A$32,0),IF(LOWER(TRIM($F77))="male",1,2)),_xlpm.coverage,VALUE(SUBSTITUTE(SUBSTITUTE($S77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7" s="80">
        <f t="array" ref="AP77">IFERROR(_xlfn.LET(_xlpm.rate,INDEX(amam!$B$2:$E$37,MATCH($AE77,amam!$A$2:$A$37,0),IF(LOWER(TRIM($F77))="male",IF(LOWER(TRIM($K77))="yes",2,1),IF(LOWER(TRIM($K77))="yes",4,3))),_xlpm.coverage,VALUE(SUBSTITUTE(SUBSTITUTE($S77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7" s="80">
        <f t="array" ref="AQ77">IFERROR(_xlfn.LET(_xlpm.rate,INDEX('amam-graded'!$B$2:$E$37,MATCH($AE77,'amam-graded'!$A$2:$A$37,0),IF(LOWER(TRIM($F77))="male",IF(LOWER(TRIM($K77))="yes",2,1),IF(LOWER(TRIM($K77))="yes",4,3))),_xlpm.coverage,VALUE(SUBSTITUTE(SUBSTITUTE($S77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7" s="80">
        <f t="array" ref="AR77">IFERROR(_xlfn.LET(_xlpm.rate,INDEX('amam-return-or-premium'!$B$2:$E$37,MATCH($AE77,'amam-return-or-premium'!$A$2:$A$37,0),IF(LOWER(TRIM($F77))="male",IF(LOWER(TRIM($K77))="yes",2,1),IF(LOWER(TRIM($K77))="yes",4,3))),_xlpm.coverage,VALUE(SUBSTITUTE(SUBSTITUTE($S77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7" s="80">
        <f t="array" ref="AS77">IFERROR(_xlfn.LET(_xlpm.rate,INDEX(AHL!$B$2:$E$37,MATCH($AE77,AHL!$A$2:$A$37,0),IF(LOWER(TRIM($F77))="male",IF(LOWER(TRIM($K77))="yes",2,1),IF(LOWER(TRIM($K77))="yes",4,3))),_xlpm.coverage,VALUE(SUBSTITUTE(SUBSTITUTE($S77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7" s="80">
        <f t="array" ref="AT77">IFERROR(_xlfn.LET(_xlpm.rate,INDEX('AHL-Graded'!$B$2:$E$32,MATCH($AE77,'AHL-Graded'!$A$2:$A$32,0),IF(LOWER(TRIM($F77))="male",IF(LOWER(TRIM($K77))="yes",2,1),IF(LOWER(TRIM($K77))="yes",4,3))),_xlpm.coverage,VALUE(SUBSTITUTE(SUBSTITUTE($S77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7" s="80">
        <f t="array" ref="AU77">IFERROR(_xlfn.LET(_xlpm.rate,INDEX('Royal Neighbors'!$B$2:$E$37,MATCH($AE77,'Royal Neighbors'!$A$2:$A$37,0),IF(LOWER(TRIM($F77))="male",IF(LOWER(TRIM($K77))="yes",2,1),IF(LOWER(TRIM($K77))="yes",4,3))),_xlpm.coverage,VALUE(SUBSTITUTE(SUBSTITUTE($S77,"$",""),",","")),_xlpm.base,_xlpm.rate*(_xlpm.coverage/1000),_xlpm.fee,_xlfn.XLOOKUP("Royal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7" s="80">
        <f t="array" ref="AV77">IFERROR(_xlfn.LET(_xlpm.rate,INDEX('Royal Neighbors-Graded'!$B$2:$E$37,MATCH($AE77,'Royal Neighbors-Graded'!$A$2:$A$37,0),IF(LOWER(TRIM($F77))="male",IF(LOWER(TRIM($K77))="yes",2,1),IF(LOWER(TRIM($K77))="yes",4,3))),_xlpm.coverage,VALUE(SUBSTITUTE(SUBSTITUTE($S77,"$",""),",","")),_xlpm.base,_xlpm.rate*(_xlpm.coverage/1000),_xlpm.fee,_xlfn.XLOOKUP("Royal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7" s="80">
        <f t="array" ref="AW77">IFERROR(_xlfn.LET(_xlpm.rate,INDEX('Gerber-GI'!$B$2:$C$32,MATCH($AE77,'Gerber-GI'!$A$2:$A$32,0),IF(LOWER(TRIM($F77))="male",1,2)),_xlpm.coverage,VALUE(SUBSTITUTE(SUBSTITUTE($S77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7" s="80">
        <f t="array" ref="AX77">IFERROR(_xlfn.LET(_xlpm.rate,INDEX('Mutual of Omaha'!$B$2:$E$42,MATCH($AE77,'Mutual of Omaha'!$A$2:$A$42,0),IF(LOWER(TRIM($F77))="male",IF(LOWER(TRIM($K77))="yes",2,1),IF(LOWER(TRIM($K77))="yes",4,3))),_xlpm.coverage,VALUE(SUBSTITUTE(SUBSTITUTE($S77,"$",""),",","")),_xlpm.base,_xlpm.rate*(_xlpm.coverage/1000),_xlpm.fee,_xlfn.XLOOKUP("Mutal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7" s="80">
        <f t="array" ref="AY77">IFERROR(_xlfn.LET(_xlpm.rate,INDEX('Mutual of Omaha-Graded'!$B$2:$E$37,MATCH($AE77,'Mutual of Omaha-Graded'!$A$2:$A$37,0),IF(LOWER(TRIM($F77))="male",IF(LOWER(TRIM($K77))="yes",2,1),IF(LOWER(TRIM($K77))="yes",4,3))),_xlpm.coverage,VALUE(SUBSTITUTE(SUBSTITUTE($S77,"$",""),",","")),_xlpm.base,_xlpm.rate*(_xlpm.coverage/1000),_xlpm.fee,_xlfn.XLOOKUP("Mutual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7" s="80">
        <f>AP77</f>
        <v/>
      </c>
      <c r="BA77" s="80">
        <f>IFERROR(IF(AND(AP77&gt;0,AP77&lt;VALUE(SUBSTITUTE(SUBSTITUTE($T77,"$",""),",",""))),VALUE(SUBSTITUTE(SUBSTITUTE($T77,"$",""),",",""))-AP77,""),"")</f>
        <v/>
      </c>
      <c r="BB77" s="80">
        <f>AL77</f>
        <v/>
      </c>
      <c r="BC77" s="80">
        <f>IFERROR(IF(AND(AL77&gt;0,AL77&lt;VALUE(SUBSTITUTE(SUBSTITUTE($T77,"$",""),",",""))),VALUE(SUBSTITUTE(SUBSTITUTE($T77,"$",""),",",""))-AL77,""),"")</f>
        <v/>
      </c>
      <c r="BD77">
        <f t="array" ref="BD77">IFERROR(_xlfn.LET(_xlpm.current,VALUE(SUBSTITUTE(SUBSTITUTE($T77,"$",""),",","")),_xlpm.quotes,AF77:AY77,_xlpm.lowest,_xlfn.MINIFS(_xlpm.quotes,_xlpm.quotes,"&lt;"&amp;_xlpm.current,_xlpm.quotes,"&gt;0"),IF(_xlpm.lowest="","",SUBSTITUTE(INDEX($AF$1:$AY$1,1,MATCH(_xlpm.lowest,_xlpm.quotes,0))," Monthly Quote",""))),"")</f>
        <v/>
      </c>
      <c r="BE77" s="80">
        <f t="array" ref="BE77">IFERROR(_xlfn.LET(_xlpm.current,VALUE(SUBSTITUTE(SUBSTITUTE($T77,"$",""),",","")),_xlpm.quotes,AF77:AY77,_xlpm.lowest,_xlfn.MINIFS(_xlpm.quotes,_xlpm.quotes,"&lt;"&amp;_xlpm.current,_xlpm.quotes,"&gt;0"),IF(_xlpm.lowest="","",_xlpm.current-_xlpm.lowest)),"")</f>
        <v/>
      </c>
    </row>
    <row r="78">
      <c r="A78" s="63" t="inlineStr">
        <is>
          <t>Helen Mie</t>
        </is>
      </c>
      <c r="B78" s="63" t="inlineStr">
        <is>
          <t>Ball</t>
        </is>
      </c>
      <c r="C78" s="64" t="n">
        <v>9372053365</v>
      </c>
      <c r="D78" s="65" t="n">
        <v>20101</v>
      </c>
      <c r="E78" s="65" t="n">
        <v>20101</v>
      </c>
      <c r="F78" s="63" t="inlineStr">
        <is>
          <t>Female</t>
        </is>
      </c>
      <c r="G78" s="63" t="inlineStr">
        <is>
          <t>1065 Cross Rd Winchester, OH 45697</t>
        </is>
      </c>
      <c r="H78" s="63" t="inlineStr">
        <is>
          <t>OH</t>
        </is>
      </c>
      <c r="I78" s="64" t="n">
        <v>5.7</v>
      </c>
      <c r="J78" s="64" t="n">
        <v>200</v>
      </c>
      <c r="K78" s="63" t="inlineStr">
        <is>
          <t>No</t>
        </is>
      </c>
      <c r="L78" s="63" t="n"/>
      <c r="M78" s="63" t="inlineStr">
        <is>
          <t>Burial</t>
        </is>
      </c>
      <c r="N78" s="63" t="inlineStr">
        <is>
          <t>Mitch Unger</t>
        </is>
      </c>
      <c r="O78" s="63" t="inlineStr">
        <is>
          <t>Son</t>
        </is>
      </c>
      <c r="P78" s="63" t="n"/>
      <c r="Q78" s="63" t="n"/>
      <c r="R78" s="63" t="inlineStr">
        <is>
          <t>AHL</t>
        </is>
      </c>
      <c r="S78" s="66" t="n">
        <v>5000</v>
      </c>
      <c r="T78" s="64" t="n">
        <v>30.76</v>
      </c>
      <c r="U78" s="65" t="n">
        <v>45994</v>
      </c>
      <c r="V78" s="65" t="n">
        <v>46025</v>
      </c>
      <c r="W78" s="64" t="n">
        <v>290580266</v>
      </c>
      <c r="X78" s="63" t="inlineStr">
        <is>
          <t>N/A</t>
        </is>
      </c>
      <c r="Y78" s="63" t="inlineStr">
        <is>
          <t>FIRST STATE BANK</t>
        </is>
      </c>
      <c r="Z78" s="64" t="n">
        <v>42212050</v>
      </c>
      <c r="AA78" s="78" t="n">
        <v>10100000000000</v>
      </c>
      <c r="AB78" s="63" t="inlineStr">
        <is>
          <t>Diabetes Type II, HBP, High Cholesterol</t>
        </is>
      </c>
      <c r="AC78" s="63" t="inlineStr">
        <is>
          <t>Amlodipine Glipizide Rosuvastatin</t>
        </is>
      </c>
      <c r="AD78" s="63" t="inlineStr">
        <is>
          <t>N/A</t>
        </is>
      </c>
      <c r="AE78" s="64" t="n">
        <v>71</v>
      </c>
      <c r="AF78" s="80">
        <f t="array" ref="AF78">IFERROR(_xlfn.LET(_xlpm.rate,INDEX(aflac!$B$2:$E$37,MATCH($AE78,aflac!$A$2:$A$37,0),IF(LOWER(TRIM($F78))="male",IF(LOWER(TRIM($K78))="yes",2,1),IF(LOWER(TRIM($K78))="yes",4,3))),_xlpm.coverage,VALUE(SUBSTITUTE(SUBSTITUTE($S78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8" s="80">
        <f t="array" ref="AG78">IFERROR(_xlfn.LET(_xlpm.rate,INDEX('aflac-modified'!$B$2:$C$32,MATCH($AE78,'aflac-modified'!$A$2:$A$32,0),IF(LOWER(TRIM($F78))="male",1,2)),_xlpm.coverage,VALUE(SUBSTITUTE(SUBSTITUTE($S78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8" s="80">
        <f t="array" ref="AH78">IFERROR(_xlfn.LET(_xlpm.rate,INDEX(SBLI!$B$2:$E$37,MATCH($AE78,SBLI!$A$2:$A$37,0),IF(LOWER(TRIM($F78))="male",IF(LOWER(TRIM($K78))="yes",2,1),IF(LOWER(TRIM($K78))="yes",4,3))),_xlpm.coverage,VALUE(SUBSTITUTE(SUBSTITUTE($S78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8" s="80">
        <f t="array" ref="AI78">IFERROR(_xlfn.LET(_xlpm.rate,INDEX('SBLI-Modified'!$B$2:$E$27,MATCH($AE78,'SBLI-Modified'!$A$2:$A$27,0),IF(LOWER(TRIM($F78))="male",IF(LOWER(TRIM($K78))="yes",2,1),IF(LOWER(TRIM($K78))="yes",4,3))),_xlpm.coverage,VALUE(SUBSTITUTE(SUBSTITUTE($S78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8" s="80">
        <f t="array" ref="AJ78">IFERROR(_xlfn.LET(_xlpm.rate,INDEX(CICA!$B$2:$C$42,MATCH($AE78,CICA!$A$2:$A$42,0),IF(LOWER(TRIM($F78))="male",1,2)),_xlpm.coverage,VALUE(SUBSTITUTE(SUBSTITUTE($S78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8" s="80">
        <f t="array" ref="AK78">IFERROR(_xlfn.LET(_xlpm.rate,INDEX('CICA-GI'!$B$2:$C$47,MATCH($AE78,'CICA-GI'!$A$2:$A$47,0),IF(LOWER(TRIM($F78))="male",1,2)),_xlpm.coverage,VALUE(SUBSTITUTE(SUBSTITUTE($S78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8" s="80">
        <f t="array" ref="AL78">IFERROR(_xlfn.LET(_xlpm.rate,INDEX(gtl!$B$2:$C$52,MATCH($AE78,gtl!$A$2:$A$52,0),IF(LOWER(TRIM($F78))="male",1,2)),_xlpm.coverage,VALUE(SUBSTITUTE(SUBSTITUTE($S78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8" s="80">
        <f t="array" ref="AM78">IFERROR(_xlfn.LET(_xlpm.rate,INDEX(TransAmerica!$B$2:$E$69,MATCH($AE78,TransAmerica!$A$2:$A$69,0),IF(LOWER(TRIM($F78))="male",IF(LOWER(TRIM($K78))="yes",2,1),IF(LOWER(TRIM($K78))="yes",4,3))),_xlpm.coverage,VALUE(SUBSTITUTE(SUBSTITUTE($S78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8" s="80">
        <f t="array" ref="AN78">IFERROR(_xlfn.LET(_xlpm.rate,INDEX('TransAmerica Graded'!$B$2:$E$64,MATCH($AE78,'TransAmerica Graded'!$A$2:$A$64,0),IF(LOWER(TRIM($F78))="male",IF(LOWER(TRIM($K78))="yes",2,1),IF(LOWER(TRIM($K78))="yes",4,3))),_xlpm.coverage,VALUE(SUBSTITUTE(SUBSTITUTE($S78,"$",""),",","")),_xlpm.base,_xlpm.rate*(_xlpm.coverage/1000),_xlpm.fee,_xlfn.XLOOKUP("TransAmerica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8" s="80">
        <f t="array" ref="AO78">IFERROR(_xlfn.LET(_xlpm.rate,INDEX(Corebridge!$B$2:$C$32,MATCH($AE78,Corebridge!$A$2:$A$32,0),IF(LOWER(TRIM($F78))="male",1,2)),_xlpm.coverage,VALUE(SUBSTITUTE(SUBSTITUTE($S78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8" s="80">
        <f t="array" ref="AP78">IFERROR(_xlfn.LET(_xlpm.rate,INDEX(amam!$B$2:$E$37,MATCH($AE78,amam!$A$2:$A$37,0),IF(LOWER(TRIM($F78))="male",IF(LOWER(TRIM($K78))="yes",2,1),IF(LOWER(TRIM($K78))="yes",4,3))),_xlpm.coverage,VALUE(SUBSTITUTE(SUBSTITUTE($S78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8" s="80">
        <f t="array" ref="AQ78">IFERROR(_xlfn.LET(_xlpm.rate,INDEX('amam-graded'!$B$2:$E$37,MATCH($AE78,'amam-graded'!$A$2:$A$37,0),IF(LOWER(TRIM($F78))="male",IF(LOWER(TRIM($K78))="yes",2,1),IF(LOWER(TRIM($K78))="yes",4,3))),_xlpm.coverage,VALUE(SUBSTITUTE(SUBSTITUTE($S78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8" s="80">
        <f t="array" ref="AR78">IFERROR(_xlfn.LET(_xlpm.rate,INDEX('amam-return-or-premium'!$B$2:$E$37,MATCH($AE78,'amam-return-or-premium'!$A$2:$A$37,0),IF(LOWER(TRIM($F78))="male",IF(LOWER(TRIM($K78))="yes",2,1),IF(LOWER(TRIM($K78))="yes",4,3))),_xlpm.coverage,VALUE(SUBSTITUTE(SUBSTITUTE($S78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8" s="80">
        <f t="array" ref="AS78">IFERROR(_xlfn.LET(_xlpm.rate,INDEX(AHL!$B$2:$E$37,MATCH($AE78,AHL!$A$2:$A$37,0),IF(LOWER(TRIM($F78))="male",IF(LOWER(TRIM($K78))="yes",2,1),IF(LOWER(TRIM($K78))="yes",4,3))),_xlpm.coverage,VALUE(SUBSTITUTE(SUBSTITUTE($S78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8" s="80">
        <f t="array" ref="AT78">IFERROR(_xlfn.LET(_xlpm.rate,INDEX('AHL-Graded'!$B$2:$E$32,MATCH($AE78,'AHL-Graded'!$A$2:$A$32,0),IF(LOWER(TRIM($F78))="male",IF(LOWER(TRIM($K78))="yes",2,1),IF(LOWER(TRIM($K78))="yes",4,3))),_xlpm.coverage,VALUE(SUBSTITUTE(SUBSTITUTE($S78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8" s="80">
        <f t="array" ref="AU78">IFERROR(_xlfn.LET(_xlpm.rate,INDEX('Royal Neighbors'!$B$2:$E$37,MATCH($AE78,'Royal Neighbors'!$A$2:$A$37,0),IF(LOWER(TRIM($F78))="male",IF(LOWER(TRIM($K78))="yes",2,1),IF(LOWER(TRIM($K78))="yes",4,3))),_xlpm.coverage,VALUE(SUBSTITUTE(SUBSTITUTE($S78,"$",""),",","")),_xlpm.base,_xlpm.rate*(_xlpm.coverage/1000),_xlpm.fee,_xlfn.XLOOKUP("Royal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8" s="80">
        <f t="array" ref="AV78">IFERROR(_xlfn.LET(_xlpm.rate,INDEX('Royal Neighbors-Graded'!$B$2:$E$37,MATCH($AE78,'Royal Neighbors-Graded'!$A$2:$A$37,0),IF(LOWER(TRIM($F78))="male",IF(LOWER(TRIM($K78))="yes",2,1),IF(LOWER(TRIM($K78))="yes",4,3))),_xlpm.coverage,VALUE(SUBSTITUTE(SUBSTITUTE($S78,"$",""),",","")),_xlpm.base,_xlpm.rate*(_xlpm.coverage/1000),_xlpm.fee,_xlfn.XLOOKUP("Royal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8" s="80">
        <f t="array" ref="AW78">IFERROR(_xlfn.LET(_xlpm.rate,INDEX('Gerber-GI'!$B$2:$C$32,MATCH($AE78,'Gerber-GI'!$A$2:$A$32,0),IF(LOWER(TRIM($F78))="male",1,2)),_xlpm.coverage,VALUE(SUBSTITUTE(SUBSTITUTE($S78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8" s="80">
        <f t="array" ref="AX78">IFERROR(_xlfn.LET(_xlpm.rate,INDEX('Mutual of Omaha'!$B$2:$E$42,MATCH($AE78,'Mutual of Omaha'!$A$2:$A$42,0),IF(LOWER(TRIM($F78))="male",IF(LOWER(TRIM($K78))="yes",2,1),IF(LOWER(TRIM($K78))="yes",4,3))),_xlpm.coverage,VALUE(SUBSTITUTE(SUBSTITUTE($S78,"$",""),",","")),_xlpm.base,_xlpm.rate*(_xlpm.coverage/1000),_xlpm.fee,_xlfn.XLOOKUP("Mutal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8" s="80">
        <f t="array" ref="AY78">IFERROR(_xlfn.LET(_xlpm.rate,INDEX('Mutual of Omaha-Graded'!$B$2:$E$37,MATCH($AE78,'Mutual of Omaha-Graded'!$A$2:$A$37,0),IF(LOWER(TRIM($F78))="male",IF(LOWER(TRIM($K78))="yes",2,1),IF(LOWER(TRIM($K78))="yes",4,3))),_xlpm.coverage,VALUE(SUBSTITUTE(SUBSTITUTE($S78,"$",""),",","")),_xlpm.base,_xlpm.rate*(_xlpm.coverage/1000),_xlpm.fee,_xlfn.XLOOKUP("Mutual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8" s="80">
        <f>AP78</f>
        <v/>
      </c>
      <c r="BA78" s="80">
        <f>IFERROR(IF(AND(AP78&gt;0,AP78&lt;VALUE(SUBSTITUTE(SUBSTITUTE($T78,"$",""),",",""))),VALUE(SUBSTITUTE(SUBSTITUTE($T78,"$",""),",",""))-AP78,""),"")</f>
        <v/>
      </c>
      <c r="BB78" s="80">
        <f>AL78</f>
        <v/>
      </c>
      <c r="BC78" s="80">
        <f>IFERROR(IF(AND(AL78&gt;0,AL78&lt;VALUE(SUBSTITUTE(SUBSTITUTE($T78,"$",""),",",""))),VALUE(SUBSTITUTE(SUBSTITUTE($T78,"$",""),",",""))-AL78,""),"")</f>
        <v/>
      </c>
      <c r="BD78">
        <f t="array" ref="BD78">IFERROR(_xlfn.LET(_xlpm.current,VALUE(SUBSTITUTE(SUBSTITUTE($T78,"$",""),",","")),_xlpm.quotes,AF78:AY78,_xlpm.lowest,_xlfn.MINIFS(_xlpm.quotes,_xlpm.quotes,"&lt;"&amp;_xlpm.current,_xlpm.quotes,"&gt;0"),IF(_xlpm.lowest="","",SUBSTITUTE(INDEX($AF$1:$AY$1,1,MATCH(_xlpm.lowest,_xlpm.quotes,0))," Monthly Quote",""))),"")</f>
        <v/>
      </c>
      <c r="BE78" s="80">
        <f t="array" ref="BE78">IFERROR(_xlfn.LET(_xlpm.current,VALUE(SUBSTITUTE(SUBSTITUTE($T78,"$",""),",","")),_xlpm.quotes,AF78:AY78,_xlpm.lowest,_xlfn.MINIFS(_xlpm.quotes,_xlpm.quotes,"&lt;"&amp;_xlpm.current,_xlpm.quotes,"&gt;0"),IF(_xlpm.lowest="","",_xlpm.current-_xlpm.lowest)),"")</f>
        <v/>
      </c>
    </row>
    <row r="79">
      <c r="A79" s="67" t="inlineStr">
        <is>
          <t>Yolanda</t>
        </is>
      </c>
      <c r="B79" s="67" t="inlineStr">
        <is>
          <t>Garza</t>
        </is>
      </c>
      <c r="C79" s="68" t="n">
        <v>2109275527</v>
      </c>
      <c r="D79" s="68" t="n">
        <v>82</v>
      </c>
      <c r="E79" s="69" t="n">
        <v>16017</v>
      </c>
      <c r="F79" s="67" t="inlineStr">
        <is>
          <t>F</t>
        </is>
      </c>
      <c r="G79" s="67" t="inlineStr">
        <is>
          <t>2310 Six Mile Dr San Antonio TX 78224</t>
        </is>
      </c>
      <c r="H79" s="67" t="inlineStr">
        <is>
          <t>TX</t>
        </is>
      </c>
      <c r="I79" s="68" t="n">
        <v>5.4</v>
      </c>
      <c r="J79" s="68" t="n">
        <v>150</v>
      </c>
      <c r="K79" s="67" t="inlineStr">
        <is>
          <t>Yes</t>
        </is>
      </c>
      <c r="L79" s="67" t="n"/>
      <c r="M79" s="67" t="inlineStr">
        <is>
          <t>C</t>
        </is>
      </c>
      <c r="N79" s="67" t="inlineStr">
        <is>
          <t>Rudy Garza</t>
        </is>
      </c>
      <c r="O79" s="67" t="inlineStr">
        <is>
          <t>Brother</t>
        </is>
      </c>
      <c r="P79" s="67" t="n"/>
      <c r="Q79" s="67" t="n"/>
      <c r="R79" s="67" t="inlineStr">
        <is>
          <t>AHL</t>
        </is>
      </c>
      <c r="S79" s="70" t="n">
        <v>3000</v>
      </c>
      <c r="T79" s="68" t="n">
        <v>61.04</v>
      </c>
      <c r="U79" s="69" t="n">
        <v>46001</v>
      </c>
      <c r="V79" s="69" t="n">
        <v>46036</v>
      </c>
      <c r="W79" s="68" t="n">
        <v>457768397</v>
      </c>
      <c r="X79" s="67" t="inlineStr">
        <is>
          <t>N/A</t>
        </is>
      </c>
      <c r="Y79" s="67" t="inlineStr">
        <is>
          <t>Firstmark Credit Union</t>
        </is>
      </c>
      <c r="Z79" s="68" t="n">
        <v>314088556</v>
      </c>
      <c r="AA79" s="72" t="n">
        <v>1.1e+16</v>
      </c>
      <c r="AB79" s="67" t="inlineStr">
        <is>
          <t>HBP &amp; Cholesterol</t>
        </is>
      </c>
      <c r="AC79" s="67" t="inlineStr">
        <is>
          <t>HBP &amp; Cholesterol</t>
        </is>
      </c>
      <c r="AD79" s="67" t="inlineStr">
        <is>
          <t>Dr. Raylee</t>
        </is>
      </c>
      <c r="AE79" s="68" t="n">
        <v>82</v>
      </c>
      <c r="AF79" s="80">
        <f t="array" ref="AF79">IFERROR(_xlfn.LET(_xlpm.rate,INDEX(aflac!$B$2:$E$37,MATCH($AE79,aflac!$A$2:$A$37,0),IF(LOWER(TRIM($F79))="male",IF(LOWER(TRIM($K79))="yes",2,1),IF(LOWER(TRIM($K79))="yes",4,3))),_xlpm.coverage,VALUE(SUBSTITUTE(SUBSTITUTE($S79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79" s="80">
        <f t="array" ref="AG79">IFERROR(_xlfn.LET(_xlpm.rate,INDEX('aflac-modified'!$B$2:$C$32,MATCH($AE79,'aflac-modified'!$A$2:$A$32,0),IF(LOWER(TRIM($F79))="male",1,2)),_xlpm.coverage,VALUE(SUBSTITUTE(SUBSTITUTE($S79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79" s="80">
        <f t="array" ref="AH79">IFERROR(_xlfn.LET(_xlpm.rate,INDEX(SBLI!$B$2:$E$37,MATCH($AE79,SBLI!$A$2:$A$37,0),IF(LOWER(TRIM($F79))="male",IF(LOWER(TRIM($K79))="yes",2,1),IF(LOWER(TRIM($K79))="yes",4,3))),_xlpm.coverage,VALUE(SUBSTITUTE(SUBSTITUTE($S79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79" s="80">
        <f t="array" ref="AI79">IFERROR(_xlfn.LET(_xlpm.rate,INDEX('SBLI-Modified'!$B$2:$E$27,MATCH($AE79,'SBLI-Modified'!$A$2:$A$27,0),IF(LOWER(TRIM($F79))="male",IF(LOWER(TRIM($K79))="yes",2,1),IF(LOWER(TRIM($K79))="yes",4,3))),_xlpm.coverage,VALUE(SUBSTITUTE(SUBSTITUTE($S79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79" s="80">
        <f t="array" ref="AJ79">IFERROR(_xlfn.LET(_xlpm.rate,INDEX(CICA!$B$2:$C$42,MATCH($AE79,CICA!$A$2:$A$42,0),IF(LOWER(TRIM($F79))="male",1,2)),_xlpm.coverage,VALUE(SUBSTITUTE(SUBSTITUTE($S79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79" s="80">
        <f t="array" ref="AK79">IFERROR(_xlfn.LET(_xlpm.rate,INDEX('CICA-GI'!$B$2:$C$47,MATCH($AE79,'CICA-GI'!$A$2:$A$47,0),IF(LOWER(TRIM($F79))="male",1,2)),_xlpm.coverage,VALUE(SUBSTITUTE(SUBSTITUTE($S79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79" s="80">
        <f t="array" ref="AL79">IFERROR(_xlfn.LET(_xlpm.rate,INDEX(gtl!$B$2:$C$52,MATCH($AE79,gtl!$A$2:$A$52,0),IF(LOWER(TRIM($F79))="male",1,2)),_xlpm.coverage,VALUE(SUBSTITUTE(SUBSTITUTE($S79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79" s="80">
        <f t="array" ref="AM79">IFERROR(_xlfn.LET(_xlpm.rate,INDEX(TransAmerica!$B$2:$E$69,MATCH($AE79,TransAmerica!$A$2:$A$69,0),IF(LOWER(TRIM($F79))="male",IF(LOWER(TRIM($K79))="yes",2,1),IF(LOWER(TRIM($K79))="yes",4,3))),_xlpm.coverage,VALUE(SUBSTITUTE(SUBSTITUTE($S79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79" s="80">
        <f t="array" ref="AN79">IFERROR(_xlfn.LET(_xlpm.rate,INDEX('TransAmerica Graded'!$B$2:$E$64,MATCH($AE79,'TransAmerica Graded'!$A$2:$A$64,0),IF(LOWER(TRIM($F79))="male",IF(LOWER(TRIM($K79))="yes",2,1),IF(LOWER(TRIM($K79))="yes",4,3))),_xlpm.coverage,VALUE(SUBSTITUTE(SUBSTITUTE($S79,"$",""),",","")),_xlpm.base,_xlpm.rate*(_xlpm.coverage/1000),_xlpm.fee,_xlfn.XLOOKUP("TransAmerica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79" s="80">
        <f t="array" ref="AO79">IFERROR(_xlfn.LET(_xlpm.rate,INDEX(Corebridge!$B$2:$C$32,MATCH($AE79,Corebridge!$A$2:$A$32,0),IF(LOWER(TRIM($F79))="male",1,2)),_xlpm.coverage,VALUE(SUBSTITUTE(SUBSTITUTE($S79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79" s="80">
        <f t="array" ref="AP79">IFERROR(_xlfn.LET(_xlpm.rate,INDEX(amam!$B$2:$E$37,MATCH($AE79,amam!$A$2:$A$37,0),IF(LOWER(TRIM($F79))="male",IF(LOWER(TRIM($K79))="yes",2,1),IF(LOWER(TRIM($K79))="yes",4,3))),_xlpm.coverage,VALUE(SUBSTITUTE(SUBSTITUTE($S79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79" s="80">
        <f t="array" ref="AQ79">IFERROR(_xlfn.LET(_xlpm.rate,INDEX('amam-graded'!$B$2:$E$37,MATCH($AE79,'amam-graded'!$A$2:$A$37,0),IF(LOWER(TRIM($F79))="male",IF(LOWER(TRIM($K79))="yes",2,1),IF(LOWER(TRIM($K79))="yes",4,3))),_xlpm.coverage,VALUE(SUBSTITUTE(SUBSTITUTE($S79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79" s="80">
        <f t="array" ref="AR79">IFERROR(_xlfn.LET(_xlpm.rate,INDEX('amam-return-or-premium'!$B$2:$E$37,MATCH($AE79,'amam-return-or-premium'!$A$2:$A$37,0),IF(LOWER(TRIM($F79))="male",IF(LOWER(TRIM($K79))="yes",2,1),IF(LOWER(TRIM($K79))="yes",4,3))),_xlpm.coverage,VALUE(SUBSTITUTE(SUBSTITUTE($S79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79" s="80">
        <f t="array" ref="AS79">IFERROR(_xlfn.LET(_xlpm.rate,INDEX(AHL!$B$2:$E$37,MATCH($AE79,AHL!$A$2:$A$37,0),IF(LOWER(TRIM($F79))="male",IF(LOWER(TRIM($K79))="yes",2,1),IF(LOWER(TRIM($K79))="yes",4,3))),_xlpm.coverage,VALUE(SUBSTITUTE(SUBSTITUTE($S79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79" s="80">
        <f t="array" ref="AT79">IFERROR(_xlfn.LET(_xlpm.rate,INDEX('AHL-Graded'!$B$2:$E$32,MATCH($AE79,'AHL-Graded'!$A$2:$A$32,0),IF(LOWER(TRIM($F79))="male",IF(LOWER(TRIM($K79))="yes",2,1),IF(LOWER(TRIM($K79))="yes",4,3))),_xlpm.coverage,VALUE(SUBSTITUTE(SUBSTITUTE($S79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79" s="80">
        <f t="array" ref="AU79">IFERROR(_xlfn.LET(_xlpm.rate,INDEX('Royal Neighbors'!$B$2:$E$37,MATCH($AE79,'Royal Neighbors'!$A$2:$A$37,0),IF(LOWER(TRIM($F79))="male",IF(LOWER(TRIM($K79))="yes",2,1),IF(LOWER(TRIM($K79))="yes",4,3))),_xlpm.coverage,VALUE(SUBSTITUTE(SUBSTITUTE($S79,"$",""),",","")),_xlpm.base,_xlpm.rate*(_xlpm.coverage/1000),_xlpm.fee,_xlfn.XLOOKUP("Royal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79" s="80">
        <f t="array" ref="AV79">IFERROR(_xlfn.LET(_xlpm.rate,INDEX('Royal Neighbors-Graded'!$B$2:$E$37,MATCH($AE79,'Royal Neighbors-Graded'!$A$2:$A$37,0),IF(LOWER(TRIM($F79))="male",IF(LOWER(TRIM($K79))="yes",2,1),IF(LOWER(TRIM($K79))="yes",4,3))),_xlpm.coverage,VALUE(SUBSTITUTE(SUBSTITUTE($S79,"$",""),",","")),_xlpm.base,_xlpm.rate*(_xlpm.coverage/1000),_xlpm.fee,_xlfn.XLOOKUP("Royal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79" s="80">
        <f t="array" ref="AW79">IFERROR(_xlfn.LET(_xlpm.rate,INDEX('Gerber-GI'!$B$2:$C$32,MATCH($AE79,'Gerber-GI'!$A$2:$A$32,0),IF(LOWER(TRIM($F79))="male",1,2)),_xlpm.coverage,VALUE(SUBSTITUTE(SUBSTITUTE($S79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79" s="80">
        <f t="array" ref="AX79">IFERROR(_xlfn.LET(_xlpm.rate,INDEX('Mutual of Omaha'!$B$2:$E$42,MATCH($AE79,'Mutual of Omaha'!$A$2:$A$42,0),IF(LOWER(TRIM($F79))="male",IF(LOWER(TRIM($K79))="yes",2,1),IF(LOWER(TRIM($K79))="yes",4,3))),_xlpm.coverage,VALUE(SUBSTITUTE(SUBSTITUTE($S79,"$",""),",","")),_xlpm.base,_xlpm.rate*(_xlpm.coverage/1000),_xlpm.fee,_xlfn.XLOOKUP("Mutal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79" s="80">
        <f t="array" ref="AY79">IFERROR(_xlfn.LET(_xlpm.rate,INDEX('Mutual of Omaha-Graded'!$B$2:$E$37,MATCH($AE79,'Mutual of Omaha-Graded'!$A$2:$A$37,0),IF(LOWER(TRIM($F79))="male",IF(LOWER(TRIM($K79))="yes",2,1),IF(LOWER(TRIM($K79))="yes",4,3))),_xlpm.coverage,VALUE(SUBSTITUTE(SUBSTITUTE($S79,"$",""),",","")),_xlpm.base,_xlpm.rate*(_xlpm.coverage/1000),_xlpm.fee,_xlfn.XLOOKUP("Mutual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79" s="80">
        <f>AP79</f>
        <v/>
      </c>
      <c r="BA79" s="80">
        <f>IFERROR(IF(AND(AP79&gt;0,AP79&lt;VALUE(SUBSTITUTE(SUBSTITUTE($T79,"$",""),",",""))),VALUE(SUBSTITUTE(SUBSTITUTE($T79,"$",""),",",""))-AP79,""),"")</f>
        <v/>
      </c>
      <c r="BB79" s="80">
        <f>AL79</f>
        <v/>
      </c>
      <c r="BC79" s="80">
        <f>IFERROR(IF(AND(AL79&gt;0,AL79&lt;VALUE(SUBSTITUTE(SUBSTITUTE($T79,"$",""),",",""))),VALUE(SUBSTITUTE(SUBSTITUTE($T79,"$",""),",",""))-AL79,""),"")</f>
        <v/>
      </c>
      <c r="BD79">
        <f t="array" ref="BD79">IFERROR(_xlfn.LET(_xlpm.current,VALUE(SUBSTITUTE(SUBSTITUTE($T79,"$",""),",","")),_xlpm.quotes,AF79:AY79,_xlpm.lowest,_xlfn.MINIFS(_xlpm.quotes,_xlpm.quotes,"&lt;"&amp;_xlpm.current,_xlpm.quotes,"&gt;0"),IF(_xlpm.lowest="","",SUBSTITUTE(INDEX($AF$1:$AY$1,1,MATCH(_xlpm.lowest,_xlpm.quotes,0))," Monthly Quote",""))),"")</f>
        <v/>
      </c>
      <c r="BE79" s="80">
        <f t="array" ref="BE79">IFERROR(_xlfn.LET(_xlpm.current,VALUE(SUBSTITUTE(SUBSTITUTE($T79,"$",""),",","")),_xlpm.quotes,AF79:AY79,_xlpm.lowest,_xlfn.MINIFS(_xlpm.quotes,_xlpm.quotes,"&lt;"&amp;_xlpm.current,_xlpm.quotes,"&gt;0"),IF(_xlpm.lowest="","",_xlpm.current-_xlpm.lowest)),"")</f>
        <v/>
      </c>
    </row>
    <row r="80">
      <c r="A80" s="67" t="inlineStr">
        <is>
          <t>Tracey Lynn</t>
        </is>
      </c>
      <c r="B80" s="67" t="inlineStr">
        <is>
          <t>Freeman</t>
        </is>
      </c>
      <c r="C80" s="68" t="n">
        <v>7023603148</v>
      </c>
      <c r="D80" s="68" t="n">
        <v>76</v>
      </c>
      <c r="E80" s="69" t="n">
        <v>17947</v>
      </c>
      <c r="F80" s="67" t="inlineStr">
        <is>
          <t>Female</t>
        </is>
      </c>
      <c r="G80" s="67" t="inlineStr">
        <is>
          <t>2700 Port of Call Dr Las Vegas, NV 89128</t>
        </is>
      </c>
      <c r="H80" s="67" t="inlineStr">
        <is>
          <t>PA</t>
        </is>
      </c>
      <c r="I80" s="67" t="inlineStr">
        <is>
          <t>5'2</t>
        </is>
      </c>
      <c r="J80" s="67" t="inlineStr">
        <is>
          <t>100lbs</t>
        </is>
      </c>
      <c r="K80" s="67" t="inlineStr">
        <is>
          <t>No</t>
        </is>
      </c>
      <c r="L80" s="67" t="n"/>
      <c r="M80" s="67" t="inlineStr">
        <is>
          <t>Cremation</t>
        </is>
      </c>
      <c r="N80" s="67" t="inlineStr">
        <is>
          <t>Paul Thomas</t>
        </is>
      </c>
      <c r="O80" s="67" t="inlineStr">
        <is>
          <t>Son</t>
        </is>
      </c>
      <c r="P80" s="67" t="inlineStr">
        <is>
          <t>Chevelle Freeman, Page Freeman</t>
        </is>
      </c>
      <c r="Q80" s="67" t="inlineStr">
        <is>
          <t>Daughter, Daughter</t>
        </is>
      </c>
      <c r="R80" s="67" t="inlineStr">
        <is>
          <t>AHL</t>
        </is>
      </c>
      <c r="S80" s="70" t="n">
        <v>5000</v>
      </c>
      <c r="T80" s="74" t="n">
        <v>42.65</v>
      </c>
      <c r="U80" s="69" t="n">
        <v>45985</v>
      </c>
      <c r="V80" s="69" t="n">
        <v>46015</v>
      </c>
      <c r="W80" s="68" t="n">
        <v>530388869</v>
      </c>
      <c r="X80" s="67" t="inlineStr">
        <is>
          <t>Nil</t>
        </is>
      </c>
      <c r="Y80" s="67" t="inlineStr">
        <is>
          <t>Bank of America</t>
        </is>
      </c>
      <c r="Z80" s="68" t="n">
        <v>122400724</v>
      </c>
      <c r="AA80" s="68" t="n">
        <v>14296644</v>
      </c>
      <c r="AB80" s="67" t="inlineStr">
        <is>
          <t>No major health conditions</t>
        </is>
      </c>
      <c r="AC80" s="67" t="inlineStr">
        <is>
          <t>Losartan, Atorvastatin</t>
        </is>
      </c>
      <c r="AD80" s="67" t="inlineStr">
        <is>
          <t>Dr. Sana Safaei (2035 Village Center Cir #110, Las Vegas, NV 89134)</t>
        </is>
      </c>
      <c r="AE80" s="68" t="n">
        <v>77</v>
      </c>
      <c r="AF80" s="80">
        <f t="array" ref="AF80">IFERROR(_xlfn.LET(_xlpm.rate,INDEX(aflac!$B$2:$E$37,MATCH($AE80,aflac!$A$2:$A$37,0),IF(LOWER(TRIM($F80))="male",IF(LOWER(TRIM($K80))="yes",2,1),IF(LOWER(TRIM($K80))="yes",4,3))),_xlpm.coverage,VALUE(SUBSTITUTE(SUBSTITUTE($S80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0" s="80">
        <f t="array" ref="AG80">IFERROR(_xlfn.LET(_xlpm.rate,INDEX('aflac-modified'!$B$2:$C$32,MATCH($AE80,'aflac-modified'!$A$2:$A$32,0),IF(LOWER(TRIM($F80))="male",1,2)),_xlpm.coverage,VALUE(SUBSTITUTE(SUBSTITUTE($S80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0" s="80">
        <f t="array" ref="AH80">IFERROR(_xlfn.LET(_xlpm.rate,INDEX(SBLI!$B$2:$E$37,MATCH($AE80,SBLI!$A$2:$A$37,0),IF(LOWER(TRIM($F80))="male",IF(LOWER(TRIM($K80))="yes",2,1),IF(LOWER(TRIM($K80))="yes",4,3))),_xlpm.coverage,VALUE(SUBSTITUTE(SUBSTITUTE($S80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0" s="80">
        <f t="array" ref="AI80">IFERROR(_xlfn.LET(_xlpm.rate,INDEX('SBLI-Modified'!$B$2:$E$27,MATCH($AE80,'SBLI-Modified'!$A$2:$A$27,0),IF(LOWER(TRIM($F80))="male",IF(LOWER(TRIM($K80))="yes",2,1),IF(LOWER(TRIM($K80))="yes",4,3))),_xlpm.coverage,VALUE(SUBSTITUTE(SUBSTITUTE($S80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0" s="80">
        <f t="array" ref="AJ80">IFERROR(_xlfn.LET(_xlpm.rate,INDEX(CICA!$B$2:$C$42,MATCH($AE80,CICA!$A$2:$A$42,0),IF(LOWER(TRIM($F80))="male",1,2)),_xlpm.coverage,VALUE(SUBSTITUTE(SUBSTITUTE($S80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0" s="80">
        <f t="array" ref="AK80">IFERROR(_xlfn.LET(_xlpm.rate,INDEX('CICA-GI'!$B$2:$C$47,MATCH($AE80,'CICA-GI'!$A$2:$A$47,0),IF(LOWER(TRIM($F80))="male",1,2)),_xlpm.coverage,VALUE(SUBSTITUTE(SUBSTITUTE($S80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0" s="80">
        <f t="array" ref="AL80">IFERROR(_xlfn.LET(_xlpm.rate,INDEX(gtl!$B$2:$C$52,MATCH($AE80,gtl!$A$2:$A$52,0),IF(LOWER(TRIM($F80))="male",1,2)),_xlpm.coverage,VALUE(SUBSTITUTE(SUBSTITUTE($S80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0" s="80">
        <f t="array" ref="AM80">IFERROR(_xlfn.LET(_xlpm.rate,INDEX(TransAmerica!$B$2:$E$69,MATCH($AE80,TransAmerica!$A$2:$A$69,0),IF(LOWER(TRIM($F80))="male",IF(LOWER(TRIM($K80))="yes",2,1),IF(LOWER(TRIM($K80))="yes",4,3))),_xlpm.coverage,VALUE(SUBSTITUTE(SUBSTITUTE($S80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0" s="80">
        <f t="array" ref="AN80">IFERROR(_xlfn.LET(_xlpm.rate,INDEX('TransAmerica Graded'!$B$2:$E$64,MATCH($AE80,'TransAmerica Graded'!$A$2:$A$64,0),IF(LOWER(TRIM($F80))="male",IF(LOWER(TRIM($K80))="yes",2,1),IF(LOWER(TRIM($K80))="yes",4,3))),_xlpm.coverage,VALUE(SUBSTITUTE(SUBSTITUTE($S80,"$",""),",","")),_xlpm.base,_xlpm.rate*(_xlpm.coverage/1000),_xlpm.fee,_xlfn.XLOOKUP("TransAmerica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0" s="80">
        <f t="array" ref="AO80">IFERROR(_xlfn.LET(_xlpm.rate,INDEX(Corebridge!$B$2:$C$32,MATCH($AE80,Corebridge!$A$2:$A$32,0),IF(LOWER(TRIM($F80))="male",1,2)),_xlpm.coverage,VALUE(SUBSTITUTE(SUBSTITUTE($S80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0" s="80">
        <f t="array" ref="AP80">IFERROR(_xlfn.LET(_xlpm.rate,INDEX(amam!$B$2:$E$37,MATCH($AE80,amam!$A$2:$A$37,0),IF(LOWER(TRIM($F80))="male",IF(LOWER(TRIM($K80))="yes",2,1),IF(LOWER(TRIM($K80))="yes",4,3))),_xlpm.coverage,VALUE(SUBSTITUTE(SUBSTITUTE($S80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0" s="80">
        <f t="array" ref="AQ80">IFERROR(_xlfn.LET(_xlpm.rate,INDEX('amam-graded'!$B$2:$E$37,MATCH($AE80,'amam-graded'!$A$2:$A$37,0),IF(LOWER(TRIM($F80))="male",IF(LOWER(TRIM($K80))="yes",2,1),IF(LOWER(TRIM($K80))="yes",4,3))),_xlpm.coverage,VALUE(SUBSTITUTE(SUBSTITUTE($S80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0" s="80">
        <f t="array" ref="AR80">IFERROR(_xlfn.LET(_xlpm.rate,INDEX('amam-return-or-premium'!$B$2:$E$37,MATCH($AE80,'amam-return-or-premium'!$A$2:$A$37,0),IF(LOWER(TRIM($F80))="male",IF(LOWER(TRIM($K80))="yes",2,1),IF(LOWER(TRIM($K80))="yes",4,3))),_xlpm.coverage,VALUE(SUBSTITUTE(SUBSTITUTE($S80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0" s="80">
        <f t="array" ref="AS80">IFERROR(_xlfn.LET(_xlpm.rate,INDEX(AHL!$B$2:$E$37,MATCH($AE80,AHL!$A$2:$A$37,0),IF(LOWER(TRIM($F80))="male",IF(LOWER(TRIM($K80))="yes",2,1),IF(LOWER(TRIM($K80))="yes",4,3))),_xlpm.coverage,VALUE(SUBSTITUTE(SUBSTITUTE($S80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0" s="80">
        <f t="array" ref="AT80">IFERROR(_xlfn.LET(_xlpm.rate,INDEX('AHL-Graded'!$B$2:$E$32,MATCH($AE80,'AHL-Graded'!$A$2:$A$32,0),IF(LOWER(TRIM($F80))="male",IF(LOWER(TRIM($K80))="yes",2,1),IF(LOWER(TRIM($K80))="yes",4,3))),_xlpm.coverage,VALUE(SUBSTITUTE(SUBSTITUTE($S80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0" s="80">
        <f t="array" ref="AU80">IFERROR(_xlfn.LET(_xlpm.rate,INDEX('Royal Neighbors'!$B$2:$E$37,MATCH($AE80,'Royal Neighbors'!$A$2:$A$37,0),IF(LOWER(TRIM($F80))="male",IF(LOWER(TRIM($K80))="yes",2,1),IF(LOWER(TRIM($K80))="yes",4,3))),_xlpm.coverage,VALUE(SUBSTITUTE(SUBSTITUTE($S80,"$",""),",","")),_xlpm.base,_xlpm.rate*(_xlpm.coverage/1000),_xlpm.fee,_xlfn.XLOOKUP("Royal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0" s="80">
        <f t="array" ref="AV80">IFERROR(_xlfn.LET(_xlpm.rate,INDEX('Royal Neighbors-Graded'!$B$2:$E$37,MATCH($AE80,'Royal Neighbors-Graded'!$A$2:$A$37,0),IF(LOWER(TRIM($F80))="male",IF(LOWER(TRIM($K80))="yes",2,1),IF(LOWER(TRIM($K80))="yes",4,3))),_xlpm.coverage,VALUE(SUBSTITUTE(SUBSTITUTE($S80,"$",""),",","")),_xlpm.base,_xlpm.rate*(_xlpm.coverage/1000),_xlpm.fee,_xlfn.XLOOKUP("Royal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0" s="80">
        <f t="array" ref="AW80">IFERROR(_xlfn.LET(_xlpm.rate,INDEX('Gerber-GI'!$B$2:$C$32,MATCH($AE80,'Gerber-GI'!$A$2:$A$32,0),IF(LOWER(TRIM($F80))="male",1,2)),_xlpm.coverage,VALUE(SUBSTITUTE(SUBSTITUTE($S80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0" s="80">
        <f t="array" ref="AX80">IFERROR(_xlfn.LET(_xlpm.rate,INDEX('Mutual of Omaha'!$B$2:$E$42,MATCH($AE80,'Mutual of Omaha'!$A$2:$A$42,0),IF(LOWER(TRIM($F80))="male",IF(LOWER(TRIM($K80))="yes",2,1),IF(LOWER(TRIM($K80))="yes",4,3))),_xlpm.coverage,VALUE(SUBSTITUTE(SUBSTITUTE($S80,"$",""),",","")),_xlpm.base,_xlpm.rate*(_xlpm.coverage/1000),_xlpm.fee,_xlfn.XLOOKUP("Mutal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0" s="80">
        <f t="array" ref="AY80">IFERROR(_xlfn.LET(_xlpm.rate,INDEX('Mutual of Omaha-Graded'!$B$2:$E$37,MATCH($AE80,'Mutual of Omaha-Graded'!$A$2:$A$37,0),IF(LOWER(TRIM($F80))="male",IF(LOWER(TRIM($K80))="yes",2,1),IF(LOWER(TRIM($K80))="yes",4,3))),_xlpm.coverage,VALUE(SUBSTITUTE(SUBSTITUTE($S80,"$",""),",","")),_xlpm.base,_xlpm.rate*(_xlpm.coverage/1000),_xlpm.fee,_xlfn.XLOOKUP("Mutual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0" s="80">
        <f>AP80</f>
        <v/>
      </c>
      <c r="BA80" s="80">
        <f>IFERROR(IF(AND(AP80&gt;0,AP80&lt;VALUE(SUBSTITUTE(SUBSTITUTE($T80,"$",""),",",""))),VALUE(SUBSTITUTE(SUBSTITUTE($T80,"$",""),",",""))-AP80,""),"")</f>
        <v/>
      </c>
      <c r="BB80" s="80">
        <f>AL80</f>
        <v/>
      </c>
      <c r="BC80" s="80">
        <f>IFERROR(IF(AND(AL80&gt;0,AL80&lt;VALUE(SUBSTITUTE(SUBSTITUTE($T80,"$",""),",",""))),VALUE(SUBSTITUTE(SUBSTITUTE($T80,"$",""),",",""))-AL80,""),"")</f>
        <v/>
      </c>
      <c r="BD80">
        <f t="array" ref="BD80">IFERROR(_xlfn.LET(_xlpm.current,VALUE(SUBSTITUTE(SUBSTITUTE($T80,"$",""),",","")),_xlpm.quotes,AF80:AY80,_xlpm.lowest,_xlfn.MINIFS(_xlpm.quotes,_xlpm.quotes,"&lt;"&amp;_xlpm.current,_xlpm.quotes,"&gt;0"),IF(_xlpm.lowest="","",SUBSTITUTE(INDEX($AF$1:$AY$1,1,MATCH(_xlpm.lowest,_xlpm.quotes,0))," Monthly Quote",""))),"")</f>
        <v/>
      </c>
      <c r="BE80" s="80">
        <f t="array" ref="BE80">IFERROR(_xlfn.LET(_xlpm.current,VALUE(SUBSTITUTE(SUBSTITUTE($T80,"$",""),",","")),_xlpm.quotes,AF80:AY80,_xlpm.lowest,_xlfn.MINIFS(_xlpm.quotes,_xlpm.quotes,"&lt;"&amp;_xlpm.current,_xlpm.quotes,"&gt;0"),IF(_xlpm.lowest="","",_xlpm.current-_xlpm.lowest)),"")</f>
        <v/>
      </c>
    </row>
    <row r="81">
      <c r="A81" s="67" t="inlineStr">
        <is>
          <t>Catherine T</t>
        </is>
      </c>
      <c r="B81" s="67" t="inlineStr">
        <is>
          <t>Harney</t>
        </is>
      </c>
      <c r="C81" s="68" t="n">
        <v>7575708367</v>
      </c>
      <c r="D81" s="68" t="n">
        <v>83</v>
      </c>
      <c r="E81" s="69" t="n">
        <v>15404</v>
      </c>
      <c r="F81" s="67" t="inlineStr">
        <is>
          <t>Female</t>
        </is>
      </c>
      <c r="G81" s="67" t="inlineStr">
        <is>
          <t>7505 River Rd #7c Newport News VA 23607</t>
        </is>
      </c>
      <c r="H81" s="67" t="inlineStr">
        <is>
          <t>NY</t>
        </is>
      </c>
      <c r="I81" s="68" t="n">
        <v>5.3</v>
      </c>
      <c r="J81" s="68" t="n">
        <v>145</v>
      </c>
      <c r="K81" s="67" t="inlineStr">
        <is>
          <t>No</t>
        </is>
      </c>
      <c r="L81" s="67" t="n"/>
      <c r="M81" s="67" t="inlineStr">
        <is>
          <t>Burial</t>
        </is>
      </c>
      <c r="N81" s="67" t="inlineStr">
        <is>
          <t>Mark Harney Age 51 (Feb 1974)</t>
        </is>
      </c>
      <c r="O81" s="67" t="inlineStr">
        <is>
          <t>Son</t>
        </is>
      </c>
      <c r="P81" s="67" t="inlineStr">
        <is>
          <t>Marcia Humphry Age 56 (Jan 1969) Maureen Schiavone Age 58 (Aug 1967) Matthew Harney Age 54 (Jan 1971) Martyn Harney Age 49 (Jul 1976) Michael Harney Age 59 (Apr 1966</t>
        </is>
      </c>
      <c r="Q81" s="67" t="inlineStr">
        <is>
          <t>kids</t>
        </is>
      </c>
      <c r="R81" s="67" t="inlineStr">
        <is>
          <t>AHL</t>
        </is>
      </c>
      <c r="S81" s="70" t="n">
        <v>8000</v>
      </c>
      <c r="T81" s="71" t="n">
        <v>107.68</v>
      </c>
      <c r="U81" s="69" t="n">
        <v>46008</v>
      </c>
      <c r="V81" s="69" t="n">
        <v>46039</v>
      </c>
      <c r="W81" s="68" t="n">
        <v>214400094</v>
      </c>
      <c r="X81" s="67" t="inlineStr">
        <is>
          <t>no</t>
        </is>
      </c>
      <c r="Y81" s="67" t="inlineStr">
        <is>
          <t>Langley Federal Credit Union</t>
        </is>
      </c>
      <c r="Z81" s="68" t="n">
        <v>251480738</v>
      </c>
      <c r="AA81" s="72" t="n">
        <v>1000000000000</v>
      </c>
      <c r="AB81" s="67" t="inlineStr">
        <is>
          <t>HBP</t>
        </is>
      </c>
      <c r="AC81" s="67" t="inlineStr">
        <is>
          <t>Licinopril</t>
        </is>
      </c>
      <c r="AD81" s="67" t="inlineStr">
        <is>
          <t>Dr. Apostolos I. Hiotellis, MD | Newport News, VA</t>
        </is>
      </c>
      <c r="AE81" s="68" t="n">
        <v>84</v>
      </c>
      <c r="AF81" s="80">
        <f t="array" ref="AF81">IFERROR(_xlfn.LET(_xlpm.rate,INDEX(aflac!$B$2:$E$37,MATCH($AE81,aflac!$A$2:$A$37,0),IF(LOWER(TRIM($F81))="male",IF(LOWER(TRIM($K81))="yes",2,1),IF(LOWER(TRIM($K81))="yes",4,3))),_xlpm.coverage,VALUE(SUBSTITUTE(SUBSTITUTE($S81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1" s="80">
        <f t="array" ref="AG81">IFERROR(_xlfn.LET(_xlpm.rate,INDEX('aflac-modified'!$B$2:$C$32,MATCH($AE81,'aflac-modified'!$A$2:$A$32,0),IF(LOWER(TRIM($F81))="male",1,2)),_xlpm.coverage,VALUE(SUBSTITUTE(SUBSTITUTE($S81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1" s="80">
        <f t="array" ref="AH81">IFERROR(_xlfn.LET(_xlpm.rate,INDEX(SBLI!$B$2:$E$37,MATCH($AE81,SBLI!$A$2:$A$37,0),IF(LOWER(TRIM($F81))="male",IF(LOWER(TRIM($K81))="yes",2,1),IF(LOWER(TRIM($K81))="yes",4,3))),_xlpm.coverage,VALUE(SUBSTITUTE(SUBSTITUTE($S81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1" s="80">
        <f t="array" ref="AI81">IFERROR(_xlfn.LET(_xlpm.rate,INDEX('SBLI-Modified'!$B$2:$E$27,MATCH($AE81,'SBLI-Modified'!$A$2:$A$27,0),IF(LOWER(TRIM($F81))="male",IF(LOWER(TRIM($K81))="yes",2,1),IF(LOWER(TRIM($K81))="yes",4,3))),_xlpm.coverage,VALUE(SUBSTITUTE(SUBSTITUTE($S81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1" s="80">
        <f t="array" ref="AJ81">IFERROR(_xlfn.LET(_xlpm.rate,INDEX(CICA!$B$2:$C$42,MATCH($AE81,CICA!$A$2:$A$42,0),IF(LOWER(TRIM($F81))="male",1,2)),_xlpm.coverage,VALUE(SUBSTITUTE(SUBSTITUTE($S81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1" s="80">
        <f t="array" ref="AK81">IFERROR(_xlfn.LET(_xlpm.rate,INDEX('CICA-GI'!$B$2:$C$47,MATCH($AE81,'CICA-GI'!$A$2:$A$47,0),IF(LOWER(TRIM($F81))="male",1,2)),_xlpm.coverage,VALUE(SUBSTITUTE(SUBSTITUTE($S81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1" s="80">
        <f t="array" ref="AL81">IFERROR(_xlfn.LET(_xlpm.rate,INDEX(gtl!$B$2:$C$52,MATCH($AE81,gtl!$A$2:$A$52,0),IF(LOWER(TRIM($F81))="male",1,2)),_xlpm.coverage,VALUE(SUBSTITUTE(SUBSTITUTE($S81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1" s="80">
        <f t="array" ref="AM81">IFERROR(_xlfn.LET(_xlpm.rate,INDEX(TransAmerica!$B$2:$E$69,MATCH($AE81,TransAmerica!$A$2:$A$69,0),IF(LOWER(TRIM($F81))="male",IF(LOWER(TRIM($K81))="yes",2,1),IF(LOWER(TRIM($K81))="yes",4,3))),_xlpm.coverage,VALUE(SUBSTITUTE(SUBSTITUTE($S81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1" s="80">
        <f t="array" ref="AN81">IFERROR(_xlfn.LET(_xlpm.rate,INDEX('TransAmerica Graded'!$B$2:$E$64,MATCH($AE81,'TransAmerica Graded'!$A$2:$A$64,0),IF(LOWER(TRIM($F81))="male",IF(LOWER(TRIM($K81))="yes",2,1),IF(LOWER(TRIM($K81))="yes",4,3))),_xlpm.coverage,VALUE(SUBSTITUTE(SUBSTITUTE($S81,"$",""),",","")),_xlpm.base,_xlpm.rate*(_xlpm.coverage/1000),_xlpm.fee,_xlfn.XLOOKUP("TransAmerica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1" s="80">
        <f t="array" ref="AO81">IFERROR(_xlfn.LET(_xlpm.rate,INDEX(Corebridge!$B$2:$C$32,MATCH($AE81,Corebridge!$A$2:$A$32,0),IF(LOWER(TRIM($F81))="male",1,2)),_xlpm.coverage,VALUE(SUBSTITUTE(SUBSTITUTE($S81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1" s="80">
        <f t="array" ref="AP81">IFERROR(_xlfn.LET(_xlpm.rate,INDEX(amam!$B$2:$E$37,MATCH($AE81,amam!$A$2:$A$37,0),IF(LOWER(TRIM($F81))="male",IF(LOWER(TRIM($K81))="yes",2,1),IF(LOWER(TRIM($K81))="yes",4,3))),_xlpm.coverage,VALUE(SUBSTITUTE(SUBSTITUTE($S81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1" s="80">
        <f t="array" ref="AQ81">IFERROR(_xlfn.LET(_xlpm.rate,INDEX('amam-graded'!$B$2:$E$37,MATCH($AE81,'amam-graded'!$A$2:$A$37,0),IF(LOWER(TRIM($F81))="male",IF(LOWER(TRIM($K81))="yes",2,1),IF(LOWER(TRIM($K81))="yes",4,3))),_xlpm.coverage,VALUE(SUBSTITUTE(SUBSTITUTE($S81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1" s="80">
        <f t="array" ref="AR81">IFERROR(_xlfn.LET(_xlpm.rate,INDEX('amam-return-or-premium'!$B$2:$E$37,MATCH($AE81,'amam-return-or-premium'!$A$2:$A$37,0),IF(LOWER(TRIM($F81))="male",IF(LOWER(TRIM($K81))="yes",2,1),IF(LOWER(TRIM($K81))="yes",4,3))),_xlpm.coverage,VALUE(SUBSTITUTE(SUBSTITUTE($S81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1" s="80">
        <f t="array" ref="AS81">IFERROR(_xlfn.LET(_xlpm.rate,INDEX(AHL!$B$2:$E$37,MATCH($AE81,AHL!$A$2:$A$37,0),IF(LOWER(TRIM($F81))="male",IF(LOWER(TRIM($K81))="yes",2,1),IF(LOWER(TRIM($K81))="yes",4,3))),_xlpm.coverage,VALUE(SUBSTITUTE(SUBSTITUTE($S81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1" s="80">
        <f t="array" ref="AT81">IFERROR(_xlfn.LET(_xlpm.rate,INDEX('AHL-Graded'!$B$2:$E$32,MATCH($AE81,'AHL-Graded'!$A$2:$A$32,0),IF(LOWER(TRIM($F81))="male",IF(LOWER(TRIM($K81))="yes",2,1),IF(LOWER(TRIM($K81))="yes",4,3))),_xlpm.coverage,VALUE(SUBSTITUTE(SUBSTITUTE($S81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1" s="80">
        <f t="array" ref="AU81">IFERROR(_xlfn.LET(_xlpm.rate,INDEX('Royal Neighbors'!$B$2:$E$37,MATCH($AE81,'Royal Neighbors'!$A$2:$A$37,0),IF(LOWER(TRIM($F81))="male",IF(LOWER(TRIM($K81))="yes",2,1),IF(LOWER(TRIM($K81))="yes",4,3))),_xlpm.coverage,VALUE(SUBSTITUTE(SUBSTITUTE($S81,"$",""),",","")),_xlpm.base,_xlpm.rate*(_xlpm.coverage/1000),_xlpm.fee,_xlfn.XLOOKUP("Royal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1" s="80">
        <f t="array" ref="AV81">IFERROR(_xlfn.LET(_xlpm.rate,INDEX('Royal Neighbors-Graded'!$B$2:$E$37,MATCH($AE81,'Royal Neighbors-Graded'!$A$2:$A$37,0),IF(LOWER(TRIM($F81))="male",IF(LOWER(TRIM($K81))="yes",2,1),IF(LOWER(TRIM($K81))="yes",4,3))),_xlpm.coverage,VALUE(SUBSTITUTE(SUBSTITUTE($S81,"$",""),",","")),_xlpm.base,_xlpm.rate*(_xlpm.coverage/1000),_xlpm.fee,_xlfn.XLOOKUP("Royal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1" s="80">
        <f t="array" ref="AW81">IFERROR(_xlfn.LET(_xlpm.rate,INDEX('Gerber-GI'!$B$2:$C$32,MATCH($AE81,'Gerber-GI'!$A$2:$A$32,0),IF(LOWER(TRIM($F81))="male",1,2)),_xlpm.coverage,VALUE(SUBSTITUTE(SUBSTITUTE($S81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1" s="80">
        <f t="array" ref="AX81">IFERROR(_xlfn.LET(_xlpm.rate,INDEX('Mutual of Omaha'!$B$2:$E$42,MATCH($AE81,'Mutual of Omaha'!$A$2:$A$42,0),IF(LOWER(TRIM($F81))="male",IF(LOWER(TRIM($K81))="yes",2,1),IF(LOWER(TRIM($K81))="yes",4,3))),_xlpm.coverage,VALUE(SUBSTITUTE(SUBSTITUTE($S81,"$",""),",","")),_xlpm.base,_xlpm.rate*(_xlpm.coverage/1000),_xlpm.fee,_xlfn.XLOOKUP("Mutal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1" s="80">
        <f t="array" ref="AY81">IFERROR(_xlfn.LET(_xlpm.rate,INDEX('Mutual of Omaha-Graded'!$B$2:$E$37,MATCH($AE81,'Mutual of Omaha-Graded'!$A$2:$A$37,0),IF(LOWER(TRIM($F81))="male",IF(LOWER(TRIM($K81))="yes",2,1),IF(LOWER(TRIM($K81))="yes",4,3))),_xlpm.coverage,VALUE(SUBSTITUTE(SUBSTITUTE($S81,"$",""),",","")),_xlpm.base,_xlpm.rate*(_xlpm.coverage/1000),_xlpm.fee,_xlfn.XLOOKUP("Mutual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1" s="80">
        <f>AP81</f>
        <v/>
      </c>
      <c r="BA81" s="80">
        <f>IFERROR(IF(AND(AP81&gt;0,AP81&lt;VALUE(SUBSTITUTE(SUBSTITUTE($T81,"$",""),",",""))),VALUE(SUBSTITUTE(SUBSTITUTE($T81,"$",""),",",""))-AP81,""),"")</f>
        <v/>
      </c>
      <c r="BB81" s="80">
        <f>AL81</f>
        <v/>
      </c>
      <c r="BC81" s="80">
        <f>IFERROR(IF(AND(AL81&gt;0,AL81&lt;VALUE(SUBSTITUTE(SUBSTITUTE($T81,"$",""),",",""))),VALUE(SUBSTITUTE(SUBSTITUTE($T81,"$",""),",",""))-AL81,""),"")</f>
        <v/>
      </c>
      <c r="BD81">
        <f t="array" ref="BD81">IFERROR(_xlfn.LET(_xlpm.current,VALUE(SUBSTITUTE(SUBSTITUTE($T81,"$",""),",","")),_xlpm.quotes,AF81:AY81,_xlpm.lowest,_xlfn.MINIFS(_xlpm.quotes,_xlpm.quotes,"&lt;"&amp;_xlpm.current,_xlpm.quotes,"&gt;0"),IF(_xlpm.lowest="","",SUBSTITUTE(INDEX($AF$1:$AY$1,1,MATCH(_xlpm.lowest,_xlpm.quotes,0))," Monthly Quote",""))),"")</f>
        <v/>
      </c>
      <c r="BE81" s="80">
        <f t="array" ref="BE81">IFERROR(_xlfn.LET(_xlpm.current,VALUE(SUBSTITUTE(SUBSTITUTE($T81,"$",""),",","")),_xlpm.quotes,AF81:AY81,_xlpm.lowest,_xlfn.MINIFS(_xlpm.quotes,_xlpm.quotes,"&lt;"&amp;_xlpm.current,_xlpm.quotes,"&gt;0"),IF(_xlpm.lowest="","",_xlpm.current-_xlpm.lowest)),"")</f>
        <v/>
      </c>
    </row>
    <row r="82">
      <c r="A82" s="67" t="inlineStr">
        <is>
          <t>Lorraine M</t>
        </is>
      </c>
      <c r="B82" s="67" t="inlineStr">
        <is>
          <t>Chicalo</t>
        </is>
      </c>
      <c r="C82" s="68" t="n">
        <v>5706489633</v>
      </c>
      <c r="D82" s="68" t="n">
        <v>83</v>
      </c>
      <c r="E82" s="69" t="n">
        <v>15295</v>
      </c>
      <c r="F82" s="67" t="inlineStr">
        <is>
          <t>Female</t>
        </is>
      </c>
      <c r="G82" s="67" t="inlineStr">
        <is>
          <t>1279 Old Reading Rd Paxinos, PA 17860</t>
        </is>
      </c>
      <c r="H82" s="67" t="inlineStr">
        <is>
          <t>PA</t>
        </is>
      </c>
      <c r="I82" s="68" t="n">
        <v>5.2</v>
      </c>
      <c r="J82" s="68" t="n">
        <v>90</v>
      </c>
      <c r="K82" s="67" t="inlineStr">
        <is>
          <t>No</t>
        </is>
      </c>
      <c r="L82" s="67" t="n"/>
      <c r="M82" s="67" t="inlineStr">
        <is>
          <t>Cremation</t>
        </is>
      </c>
      <c r="N82" s="67" t="inlineStr">
        <is>
          <t>(Eileen Hirsch - 3 5 1950)</t>
        </is>
      </c>
      <c r="O82" s="67" t="inlineStr">
        <is>
          <t>Neice</t>
        </is>
      </c>
      <c r="P82" s="67" t="n"/>
      <c r="Q82" s="67" t="n"/>
      <c r="R82" s="67" t="inlineStr">
        <is>
          <t>Aetna</t>
        </is>
      </c>
      <c r="S82" s="70" t="n">
        <v>3000</v>
      </c>
      <c r="T82" s="71" t="n">
        <v>37.73</v>
      </c>
      <c r="U82" s="69" t="n">
        <v>45978</v>
      </c>
      <c r="V82" s="69" t="n">
        <v>46008</v>
      </c>
      <c r="W82" s="68" t="n">
        <v>192323907</v>
      </c>
      <c r="X82" s="67" t="inlineStr">
        <is>
          <t>No</t>
        </is>
      </c>
      <c r="Y82" s="67" t="inlineStr">
        <is>
          <t>Union National Bank</t>
        </is>
      </c>
      <c r="Z82" s="68" t="n">
        <v>31303093</v>
      </c>
      <c r="AA82" s="68" t="n">
        <v>147129101</v>
      </c>
      <c r="AB82" s="67" t="inlineStr">
        <is>
          <t>Thyroid Disorder</t>
        </is>
      </c>
      <c r="AC82" s="67" t="inlineStr">
        <is>
          <t>Levothyroxine</t>
        </is>
      </c>
      <c r="AD82" s="67" t="inlineStr">
        <is>
          <t>NO</t>
        </is>
      </c>
      <c r="AE82" s="68" t="n">
        <v>84</v>
      </c>
      <c r="AF82" s="80">
        <f t="array" ref="AF82">IFERROR(_xlfn.LET(_xlpm.rate,INDEX(aflac!$B$2:$E$37,MATCH($AE82,aflac!$A$2:$A$37,0),IF(LOWER(TRIM($F82))="male",IF(LOWER(TRIM($K82))="yes",2,1),IF(LOWER(TRIM($K82))="yes",4,3))),_xlpm.coverage,VALUE(SUBSTITUTE(SUBSTITUTE($S82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2" s="80">
        <f t="array" ref="AG82">IFERROR(_xlfn.LET(_xlpm.rate,INDEX('aflac-modified'!$B$2:$C$32,MATCH($AE82,'aflac-modified'!$A$2:$A$32,0),IF(LOWER(TRIM($F82))="male",1,2)),_xlpm.coverage,VALUE(SUBSTITUTE(SUBSTITUTE($S82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2" s="80">
        <f t="array" ref="AH82">IFERROR(_xlfn.LET(_xlpm.rate,INDEX(SBLI!$B$2:$E$37,MATCH($AE82,SBLI!$A$2:$A$37,0),IF(LOWER(TRIM($F82))="male",IF(LOWER(TRIM($K82))="yes",2,1),IF(LOWER(TRIM($K82))="yes",4,3))),_xlpm.coverage,VALUE(SUBSTITUTE(SUBSTITUTE($S82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2" s="80">
        <f t="array" ref="AI82">IFERROR(_xlfn.LET(_xlpm.rate,INDEX('SBLI-Modified'!$B$2:$E$27,MATCH($AE82,'SBLI-Modified'!$A$2:$A$27,0),IF(LOWER(TRIM($F82))="male",IF(LOWER(TRIM($K82))="yes",2,1),IF(LOWER(TRIM($K82))="yes",4,3))),_xlpm.coverage,VALUE(SUBSTITUTE(SUBSTITUTE($S82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2" s="80">
        <f t="array" ref="AJ82">IFERROR(_xlfn.LET(_xlpm.rate,INDEX(CICA!$B$2:$C$42,MATCH($AE82,CICA!$A$2:$A$42,0),IF(LOWER(TRIM($F82))="male",1,2)),_xlpm.coverage,VALUE(SUBSTITUTE(SUBSTITUTE($S82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2" s="80">
        <f t="array" ref="AK82">IFERROR(_xlfn.LET(_xlpm.rate,INDEX('CICA-GI'!$B$2:$C$47,MATCH($AE82,'CICA-GI'!$A$2:$A$47,0),IF(LOWER(TRIM($F82))="male",1,2)),_xlpm.coverage,VALUE(SUBSTITUTE(SUBSTITUTE($S82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2" s="80">
        <f t="array" ref="AL82">IFERROR(_xlfn.LET(_xlpm.rate,INDEX(gtl!$B$2:$C$52,MATCH($AE82,gtl!$A$2:$A$52,0),IF(LOWER(TRIM($F82))="male",1,2)),_xlpm.coverage,VALUE(SUBSTITUTE(SUBSTITUTE($S82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2" s="80">
        <f t="array" ref="AM82">IFERROR(_xlfn.LET(_xlpm.rate,INDEX(TransAmerica!$B$2:$E$69,MATCH($AE82,TransAmerica!$A$2:$A$69,0),IF(LOWER(TRIM($F82))="male",IF(LOWER(TRIM($K82))="yes",2,1),IF(LOWER(TRIM($K82))="yes",4,3))),_xlpm.coverage,VALUE(SUBSTITUTE(SUBSTITUTE($S82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2" s="80">
        <f t="array" ref="AN82">IFERROR(_xlfn.LET(_xlpm.rate,INDEX('TransAmerica Graded'!$B$2:$E$64,MATCH($AE82,'TransAmerica Graded'!$A$2:$A$64,0),IF(LOWER(TRIM($F82))="male",IF(LOWER(TRIM($K82))="yes",2,1),IF(LOWER(TRIM($K82))="yes",4,3))),_xlpm.coverage,VALUE(SUBSTITUTE(SUBSTITUTE($S82,"$",""),",","")),_xlpm.base,_xlpm.rate*(_xlpm.coverage/1000),_xlpm.fee,_xlfn.XLOOKUP("TransAmerica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2" s="80">
        <f t="array" ref="AO82">IFERROR(_xlfn.LET(_xlpm.rate,INDEX(Corebridge!$B$2:$C$32,MATCH($AE82,Corebridge!$A$2:$A$32,0),IF(LOWER(TRIM($F82))="male",1,2)),_xlpm.coverage,VALUE(SUBSTITUTE(SUBSTITUTE($S82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2" s="80">
        <f t="array" ref="AP82">IFERROR(_xlfn.LET(_xlpm.rate,INDEX(amam!$B$2:$E$37,MATCH($AE82,amam!$A$2:$A$37,0),IF(LOWER(TRIM($F82))="male",IF(LOWER(TRIM($K82))="yes",2,1),IF(LOWER(TRIM($K82))="yes",4,3))),_xlpm.coverage,VALUE(SUBSTITUTE(SUBSTITUTE($S82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2" s="80">
        <f t="array" ref="AQ82">IFERROR(_xlfn.LET(_xlpm.rate,INDEX('amam-graded'!$B$2:$E$37,MATCH($AE82,'amam-graded'!$A$2:$A$37,0),IF(LOWER(TRIM($F82))="male",IF(LOWER(TRIM($K82))="yes",2,1),IF(LOWER(TRIM($K82))="yes",4,3))),_xlpm.coverage,VALUE(SUBSTITUTE(SUBSTITUTE($S82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2" s="80">
        <f t="array" ref="AR82">IFERROR(_xlfn.LET(_xlpm.rate,INDEX('amam-return-or-premium'!$B$2:$E$37,MATCH($AE82,'amam-return-or-premium'!$A$2:$A$37,0),IF(LOWER(TRIM($F82))="male",IF(LOWER(TRIM($K82))="yes",2,1),IF(LOWER(TRIM($K82))="yes",4,3))),_xlpm.coverage,VALUE(SUBSTITUTE(SUBSTITUTE($S82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2" s="80">
        <f t="array" ref="AS82">IFERROR(_xlfn.LET(_xlpm.rate,INDEX(AHL!$B$2:$E$37,MATCH($AE82,AHL!$A$2:$A$37,0),IF(LOWER(TRIM($F82))="male",IF(LOWER(TRIM($K82))="yes",2,1),IF(LOWER(TRIM($K82))="yes",4,3))),_xlpm.coverage,VALUE(SUBSTITUTE(SUBSTITUTE($S82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2" s="80">
        <f t="array" ref="AT82">IFERROR(_xlfn.LET(_xlpm.rate,INDEX('AHL-Graded'!$B$2:$E$32,MATCH($AE82,'AHL-Graded'!$A$2:$A$32,0),IF(LOWER(TRIM($F82))="male",IF(LOWER(TRIM($K82))="yes",2,1),IF(LOWER(TRIM($K82))="yes",4,3))),_xlpm.coverage,VALUE(SUBSTITUTE(SUBSTITUTE($S82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2" s="80">
        <f t="array" ref="AU82">IFERROR(_xlfn.LET(_xlpm.rate,INDEX('Royal Neighbors'!$B$2:$E$37,MATCH($AE82,'Royal Neighbors'!$A$2:$A$37,0),IF(LOWER(TRIM($F82))="male",IF(LOWER(TRIM($K82))="yes",2,1),IF(LOWER(TRIM($K82))="yes",4,3))),_xlpm.coverage,VALUE(SUBSTITUTE(SUBSTITUTE($S82,"$",""),",","")),_xlpm.base,_xlpm.rate*(_xlpm.coverage/1000),_xlpm.fee,_xlfn.XLOOKUP("Royal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2" s="80">
        <f t="array" ref="AV82">IFERROR(_xlfn.LET(_xlpm.rate,INDEX('Royal Neighbors-Graded'!$B$2:$E$37,MATCH($AE82,'Royal Neighbors-Graded'!$A$2:$A$37,0),IF(LOWER(TRIM($F82))="male",IF(LOWER(TRIM($K82))="yes",2,1),IF(LOWER(TRIM($K82))="yes",4,3))),_xlpm.coverage,VALUE(SUBSTITUTE(SUBSTITUTE($S82,"$",""),",","")),_xlpm.base,_xlpm.rate*(_xlpm.coverage/1000),_xlpm.fee,_xlfn.XLOOKUP("Royal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2" s="80">
        <f t="array" ref="AW82">IFERROR(_xlfn.LET(_xlpm.rate,INDEX('Gerber-GI'!$B$2:$C$32,MATCH($AE82,'Gerber-GI'!$A$2:$A$32,0),IF(LOWER(TRIM($F82))="male",1,2)),_xlpm.coverage,VALUE(SUBSTITUTE(SUBSTITUTE($S82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2" s="80">
        <f t="array" ref="AX82">IFERROR(_xlfn.LET(_xlpm.rate,INDEX('Mutual of Omaha'!$B$2:$E$42,MATCH($AE82,'Mutual of Omaha'!$A$2:$A$42,0),IF(LOWER(TRIM($F82))="male",IF(LOWER(TRIM($K82))="yes",2,1),IF(LOWER(TRIM($K82))="yes",4,3))),_xlpm.coverage,VALUE(SUBSTITUTE(SUBSTITUTE($S82,"$",""),",","")),_xlpm.base,_xlpm.rate*(_xlpm.coverage/1000),_xlpm.fee,_xlfn.XLOOKUP("Mutal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2" s="80">
        <f t="array" ref="AY82">IFERROR(_xlfn.LET(_xlpm.rate,INDEX('Mutual of Omaha-Graded'!$B$2:$E$37,MATCH($AE82,'Mutual of Omaha-Graded'!$A$2:$A$37,0),IF(LOWER(TRIM($F82))="male",IF(LOWER(TRIM($K82))="yes",2,1),IF(LOWER(TRIM($K82))="yes",4,3))),_xlpm.coverage,VALUE(SUBSTITUTE(SUBSTITUTE($S82,"$",""),",","")),_xlpm.base,_xlpm.rate*(_xlpm.coverage/1000),_xlpm.fee,_xlfn.XLOOKUP("Mutual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2" s="80">
        <f>AP82</f>
        <v/>
      </c>
      <c r="BA82" s="80">
        <f>IFERROR(IF(AND(AP82&gt;0,AP82&lt;VALUE(SUBSTITUTE(SUBSTITUTE($T82,"$",""),",",""))),VALUE(SUBSTITUTE(SUBSTITUTE($T82,"$",""),",",""))-AP82,""),"")</f>
        <v/>
      </c>
      <c r="BB82" s="80">
        <f>AL82</f>
        <v/>
      </c>
      <c r="BC82" s="80">
        <f>IFERROR(IF(AND(AL82&gt;0,AL82&lt;VALUE(SUBSTITUTE(SUBSTITUTE($T82,"$",""),",",""))),VALUE(SUBSTITUTE(SUBSTITUTE($T82,"$",""),",",""))-AL82,""),"")</f>
        <v/>
      </c>
      <c r="BD82">
        <f t="array" ref="BD82">IFERROR(_xlfn.LET(_xlpm.current,VALUE(SUBSTITUTE(SUBSTITUTE($T82,"$",""),",","")),_xlpm.quotes,AF82:AY82,_xlpm.lowest,_xlfn.MINIFS(_xlpm.quotes,_xlpm.quotes,"&lt;"&amp;_xlpm.current,_xlpm.quotes,"&gt;0"),IF(_xlpm.lowest="","",SUBSTITUTE(INDEX($AF$1:$AY$1,1,MATCH(_xlpm.lowest,_xlpm.quotes,0))," Monthly Quote",""))),"")</f>
        <v/>
      </c>
      <c r="BE82" s="80">
        <f t="array" ref="BE82">IFERROR(_xlfn.LET(_xlpm.current,VALUE(SUBSTITUTE(SUBSTITUTE($T82,"$",""),",","")),_xlpm.quotes,AF82:AY82,_xlpm.lowest,_xlfn.MINIFS(_xlpm.quotes,_xlpm.quotes,"&lt;"&amp;_xlpm.current,_xlpm.quotes,"&gt;0"),IF(_xlpm.lowest="","",_xlpm.current-_xlpm.lowest)),"")</f>
        <v/>
      </c>
    </row>
    <row r="83">
      <c r="A83" s="67" t="inlineStr">
        <is>
          <t>Justin David</t>
        </is>
      </c>
      <c r="B83" s="67" t="inlineStr">
        <is>
          <t>Coyle</t>
        </is>
      </c>
      <c r="C83" s="68" t="n">
        <v>8177094499</v>
      </c>
      <c r="D83" s="68" t="n">
        <v>77</v>
      </c>
      <c r="E83" s="69" t="n">
        <v>17662</v>
      </c>
      <c r="F83" s="67" t="inlineStr">
        <is>
          <t>Male</t>
        </is>
      </c>
      <c r="G83" s="67" t="inlineStr">
        <is>
          <t>7612 Stonebriar Ln Fort Worth, TX 76123</t>
        </is>
      </c>
      <c r="H83" s="67" t="inlineStr">
        <is>
          <t>MN</t>
        </is>
      </c>
      <c r="I83" s="67" t="inlineStr">
        <is>
          <t>5'1</t>
        </is>
      </c>
      <c r="J83" s="67" t="inlineStr">
        <is>
          <t>162lbs</t>
        </is>
      </c>
      <c r="K83" s="67" t="inlineStr">
        <is>
          <t>No</t>
        </is>
      </c>
      <c r="L83" s="67" t="n"/>
      <c r="M83" s="67" t="inlineStr">
        <is>
          <t>Cremation</t>
        </is>
      </c>
      <c r="N83" s="67" t="inlineStr">
        <is>
          <t>Richard A Coyle</t>
        </is>
      </c>
      <c r="O83" s="67" t="inlineStr">
        <is>
          <t>Son</t>
        </is>
      </c>
      <c r="P83" s="67" t="n"/>
      <c r="Q83" s="67" t="n"/>
      <c r="R83" s="67" t="inlineStr">
        <is>
          <t>Aetna</t>
        </is>
      </c>
      <c r="S83" s="70" t="n">
        <v>3500</v>
      </c>
      <c r="T83" s="74" t="n">
        <v>46.87</v>
      </c>
      <c r="U83" s="69" t="n">
        <v>45973</v>
      </c>
      <c r="V83" s="69" t="n">
        <v>46001</v>
      </c>
      <c r="W83" s="68" t="n">
        <v>5505121</v>
      </c>
      <c r="X83" s="67" t="inlineStr">
        <is>
          <t>Nil</t>
        </is>
      </c>
      <c r="Y83" s="67" t="inlineStr">
        <is>
          <t>Bank of America</t>
        </is>
      </c>
      <c r="Z83" s="68" t="n">
        <v>111000025</v>
      </c>
      <c r="AA83" s="72" t="n">
        <v>488000000000</v>
      </c>
      <c r="AB83" s="67" t="inlineStr">
        <is>
          <t>No major health conditions</t>
        </is>
      </c>
      <c r="AC83" s="67" t="inlineStr">
        <is>
          <t>Lisinopril</t>
        </is>
      </c>
      <c r="AD83" s="67" t="inlineStr">
        <is>
          <t>Fergus T Akwar (3317 Alta Mesa Boulevard, Fort Worth, TX)</t>
        </is>
      </c>
      <c r="AE83" s="68" t="n">
        <v>78</v>
      </c>
      <c r="AF83" s="80">
        <f t="array" ref="AF83">IFERROR(_xlfn.LET(_xlpm.rate,INDEX(aflac!$B$2:$E$37,MATCH($AE83,aflac!$A$2:$A$37,0),IF(LOWER(TRIM($F83))="male",IF(LOWER(TRIM($K83))="yes",2,1),IF(LOWER(TRIM($K83))="yes",4,3))),_xlpm.coverage,VALUE(SUBSTITUTE(SUBSTITUTE($S83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3" s="80">
        <f t="array" ref="AG83">IFERROR(_xlfn.LET(_xlpm.rate,INDEX('aflac-modified'!$B$2:$C$32,MATCH($AE83,'aflac-modified'!$A$2:$A$32,0),IF(LOWER(TRIM($F83))="male",1,2)),_xlpm.coverage,VALUE(SUBSTITUTE(SUBSTITUTE($S83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3" s="80">
        <f t="array" ref="AH83">IFERROR(_xlfn.LET(_xlpm.rate,INDEX(SBLI!$B$2:$E$37,MATCH($AE83,SBLI!$A$2:$A$37,0),IF(LOWER(TRIM($F83))="male",IF(LOWER(TRIM($K83))="yes",2,1),IF(LOWER(TRIM($K83))="yes",4,3))),_xlpm.coverage,VALUE(SUBSTITUTE(SUBSTITUTE($S83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3" s="80">
        <f t="array" ref="AI83">IFERROR(_xlfn.LET(_xlpm.rate,INDEX('SBLI-Modified'!$B$2:$E$27,MATCH($AE83,'SBLI-Modified'!$A$2:$A$27,0),IF(LOWER(TRIM($F83))="male",IF(LOWER(TRIM($K83))="yes",2,1),IF(LOWER(TRIM($K83))="yes",4,3))),_xlpm.coverage,VALUE(SUBSTITUTE(SUBSTITUTE($S83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3" s="80">
        <f t="array" ref="AJ83">IFERROR(_xlfn.LET(_xlpm.rate,INDEX(CICA!$B$2:$C$42,MATCH($AE83,CICA!$A$2:$A$42,0),IF(LOWER(TRIM($F83))="male",1,2)),_xlpm.coverage,VALUE(SUBSTITUTE(SUBSTITUTE($S83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3" s="80">
        <f t="array" ref="AK83">IFERROR(_xlfn.LET(_xlpm.rate,INDEX('CICA-GI'!$B$2:$C$47,MATCH($AE83,'CICA-GI'!$A$2:$A$47,0),IF(LOWER(TRIM($F83))="male",1,2)),_xlpm.coverage,VALUE(SUBSTITUTE(SUBSTITUTE($S83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3" s="80">
        <f t="array" ref="AL83">IFERROR(_xlfn.LET(_xlpm.rate,INDEX(gtl!$B$2:$C$52,MATCH($AE83,gtl!$A$2:$A$52,0),IF(LOWER(TRIM($F83))="male",1,2)),_xlpm.coverage,VALUE(SUBSTITUTE(SUBSTITUTE($S83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3" s="80">
        <f t="array" ref="AM83">IFERROR(_xlfn.LET(_xlpm.rate,INDEX(TransAmerica!$B$2:$E$69,MATCH($AE83,TransAmerica!$A$2:$A$69,0),IF(LOWER(TRIM($F83))="male",IF(LOWER(TRIM($K83))="yes",2,1),IF(LOWER(TRIM($K83))="yes",4,3))),_xlpm.coverage,VALUE(SUBSTITUTE(SUBSTITUTE($S83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3" s="80">
        <f t="array" ref="AN83">IFERROR(_xlfn.LET(_xlpm.rate,INDEX('TransAmerica Graded'!$B$2:$E$64,MATCH($AE83,'TransAmerica Graded'!$A$2:$A$64,0),IF(LOWER(TRIM($F83))="male",IF(LOWER(TRIM($K83))="yes",2,1),IF(LOWER(TRIM($K83))="yes",4,3))),_xlpm.coverage,VALUE(SUBSTITUTE(SUBSTITUTE($S83,"$",""),",","")),_xlpm.base,_xlpm.rate*(_xlpm.coverage/1000),_xlpm.fee,_xlfn.XLOOKUP("TransAmerica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3" s="80">
        <f t="array" ref="AO83">IFERROR(_xlfn.LET(_xlpm.rate,INDEX(Corebridge!$B$2:$C$32,MATCH($AE83,Corebridge!$A$2:$A$32,0),IF(LOWER(TRIM($F83))="male",1,2)),_xlpm.coverage,VALUE(SUBSTITUTE(SUBSTITUTE($S83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3" s="80">
        <f t="array" ref="AP83">IFERROR(_xlfn.LET(_xlpm.rate,INDEX(amam!$B$2:$E$37,MATCH($AE83,amam!$A$2:$A$37,0),IF(LOWER(TRIM($F83))="male",IF(LOWER(TRIM($K83))="yes",2,1),IF(LOWER(TRIM($K83))="yes",4,3))),_xlpm.coverage,VALUE(SUBSTITUTE(SUBSTITUTE($S83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3" s="80">
        <f t="array" ref="AQ83">IFERROR(_xlfn.LET(_xlpm.rate,INDEX('amam-graded'!$B$2:$E$37,MATCH($AE83,'amam-graded'!$A$2:$A$37,0),IF(LOWER(TRIM($F83))="male",IF(LOWER(TRIM($K83))="yes",2,1),IF(LOWER(TRIM($K83))="yes",4,3))),_xlpm.coverage,VALUE(SUBSTITUTE(SUBSTITUTE($S83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3" s="80">
        <f t="array" ref="AR83">IFERROR(_xlfn.LET(_xlpm.rate,INDEX('amam-return-or-premium'!$B$2:$E$37,MATCH($AE83,'amam-return-or-premium'!$A$2:$A$37,0),IF(LOWER(TRIM($F83))="male",IF(LOWER(TRIM($K83))="yes",2,1),IF(LOWER(TRIM($K83))="yes",4,3))),_xlpm.coverage,VALUE(SUBSTITUTE(SUBSTITUTE($S83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3" s="80">
        <f t="array" ref="AS83">IFERROR(_xlfn.LET(_xlpm.rate,INDEX(AHL!$B$2:$E$37,MATCH($AE83,AHL!$A$2:$A$37,0),IF(LOWER(TRIM($F83))="male",IF(LOWER(TRIM($K83))="yes",2,1),IF(LOWER(TRIM($K83))="yes",4,3))),_xlpm.coverage,VALUE(SUBSTITUTE(SUBSTITUTE($S83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3" s="80">
        <f t="array" ref="AT83">IFERROR(_xlfn.LET(_xlpm.rate,INDEX('AHL-Graded'!$B$2:$E$32,MATCH($AE83,'AHL-Graded'!$A$2:$A$32,0),IF(LOWER(TRIM($F83))="male",IF(LOWER(TRIM($K83))="yes",2,1),IF(LOWER(TRIM($K83))="yes",4,3))),_xlpm.coverage,VALUE(SUBSTITUTE(SUBSTITUTE($S83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3" s="80">
        <f t="array" ref="AU83">IFERROR(_xlfn.LET(_xlpm.rate,INDEX('Royal Neighbors'!$B$2:$E$37,MATCH($AE83,'Royal Neighbors'!$A$2:$A$37,0),IF(LOWER(TRIM($F83))="male",IF(LOWER(TRIM($K83))="yes",2,1),IF(LOWER(TRIM($K83))="yes",4,3))),_xlpm.coverage,VALUE(SUBSTITUTE(SUBSTITUTE($S83,"$",""),",","")),_xlpm.base,_xlpm.rate*(_xlpm.coverage/1000),_xlpm.fee,_xlfn.XLOOKUP("Royal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3" s="80">
        <f t="array" ref="AV83">IFERROR(_xlfn.LET(_xlpm.rate,INDEX('Royal Neighbors-Graded'!$B$2:$E$37,MATCH($AE83,'Royal Neighbors-Graded'!$A$2:$A$37,0),IF(LOWER(TRIM($F83))="male",IF(LOWER(TRIM($K83))="yes",2,1),IF(LOWER(TRIM($K83))="yes",4,3))),_xlpm.coverage,VALUE(SUBSTITUTE(SUBSTITUTE($S83,"$",""),",","")),_xlpm.base,_xlpm.rate*(_xlpm.coverage/1000),_xlpm.fee,_xlfn.XLOOKUP("Royal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3" s="80">
        <f t="array" ref="AW83">IFERROR(_xlfn.LET(_xlpm.rate,INDEX('Gerber-GI'!$B$2:$C$32,MATCH($AE83,'Gerber-GI'!$A$2:$A$32,0),IF(LOWER(TRIM($F83))="male",1,2)),_xlpm.coverage,VALUE(SUBSTITUTE(SUBSTITUTE($S83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3" s="80">
        <f t="array" ref="AX83">IFERROR(_xlfn.LET(_xlpm.rate,INDEX('Mutual of Omaha'!$B$2:$E$42,MATCH($AE83,'Mutual of Omaha'!$A$2:$A$42,0),IF(LOWER(TRIM($F83))="male",IF(LOWER(TRIM($K83))="yes",2,1),IF(LOWER(TRIM($K83))="yes",4,3))),_xlpm.coverage,VALUE(SUBSTITUTE(SUBSTITUTE($S83,"$",""),",","")),_xlpm.base,_xlpm.rate*(_xlpm.coverage/1000),_xlpm.fee,_xlfn.XLOOKUP("Mutal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3" s="80">
        <f t="array" ref="AY83">IFERROR(_xlfn.LET(_xlpm.rate,INDEX('Mutual of Omaha-Graded'!$B$2:$E$37,MATCH($AE83,'Mutual of Omaha-Graded'!$A$2:$A$37,0),IF(LOWER(TRIM($F83))="male",IF(LOWER(TRIM($K83))="yes",2,1),IF(LOWER(TRIM($K83))="yes",4,3))),_xlpm.coverage,VALUE(SUBSTITUTE(SUBSTITUTE($S83,"$",""),",","")),_xlpm.base,_xlpm.rate*(_xlpm.coverage/1000),_xlpm.fee,_xlfn.XLOOKUP("Mutual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3" s="80">
        <f>AP83</f>
        <v/>
      </c>
      <c r="BA83" s="80">
        <f>IFERROR(IF(AND(AP83&gt;0,AP83&lt;VALUE(SUBSTITUTE(SUBSTITUTE($T83,"$",""),",",""))),VALUE(SUBSTITUTE(SUBSTITUTE($T83,"$",""),",",""))-AP83,""),"")</f>
        <v/>
      </c>
      <c r="BB83" s="80">
        <f>AL83</f>
        <v/>
      </c>
      <c r="BC83" s="80">
        <f>IFERROR(IF(AND(AL83&gt;0,AL83&lt;VALUE(SUBSTITUTE(SUBSTITUTE($T83,"$",""),",",""))),VALUE(SUBSTITUTE(SUBSTITUTE($T83,"$",""),",",""))-AL83,""),"")</f>
        <v/>
      </c>
      <c r="BD83">
        <f t="array" ref="BD83">IFERROR(_xlfn.LET(_xlpm.current,VALUE(SUBSTITUTE(SUBSTITUTE($T83,"$",""),",","")),_xlpm.quotes,AF83:AY83,_xlpm.lowest,_xlfn.MINIFS(_xlpm.quotes,_xlpm.quotes,"&lt;"&amp;_xlpm.current,_xlpm.quotes,"&gt;0"),IF(_xlpm.lowest="","",SUBSTITUTE(INDEX($AF$1:$AY$1,1,MATCH(_xlpm.lowest,_xlpm.quotes,0))," Monthly Quote",""))),"")</f>
        <v/>
      </c>
      <c r="BE83" s="80">
        <f t="array" ref="BE83">IFERROR(_xlfn.LET(_xlpm.current,VALUE(SUBSTITUTE(SUBSTITUTE($T83,"$",""),",","")),_xlpm.quotes,AF83:AY83,_xlpm.lowest,_xlfn.MINIFS(_xlpm.quotes,_xlpm.quotes,"&lt;"&amp;_xlpm.current,_xlpm.quotes,"&gt;0"),IF(_xlpm.lowest="","",_xlpm.current-_xlpm.lowest)),"")</f>
        <v/>
      </c>
    </row>
    <row r="84">
      <c r="A84" s="67" t="inlineStr">
        <is>
          <t>David</t>
        </is>
      </c>
      <c r="B84" s="67" t="inlineStr">
        <is>
          <t>Payne</t>
        </is>
      </c>
      <c r="C84" s="68" t="n">
        <v>6785451450</v>
      </c>
      <c r="D84" s="68" t="n">
        <v>80</v>
      </c>
      <c r="E84" s="69" t="n">
        <v>16766</v>
      </c>
      <c r="F84" s="67" t="inlineStr">
        <is>
          <t>Mal</t>
        </is>
      </c>
      <c r="G84" s="67" t="inlineStr">
        <is>
          <t>130 Englewood Dr Fayetteville GA 30214</t>
        </is>
      </c>
      <c r="H84" s="67" t="inlineStr">
        <is>
          <t>FL</t>
        </is>
      </c>
      <c r="I84" s="68" t="n">
        <v>5.8</v>
      </c>
      <c r="J84" s="68" t="n">
        <v>130</v>
      </c>
      <c r="K84" s="67" t="inlineStr">
        <is>
          <t>No</t>
        </is>
      </c>
      <c r="L84" s="67" t="n"/>
      <c r="M84" s="67" t="inlineStr">
        <is>
          <t>Burial</t>
        </is>
      </c>
      <c r="N84" s="67" t="inlineStr">
        <is>
          <t>Ronald Harris</t>
        </is>
      </c>
      <c r="O84" s="67" t="inlineStr">
        <is>
          <t>(Cousin)</t>
        </is>
      </c>
      <c r="P84" s="67" t="n"/>
      <c r="Q84" s="67" t="n"/>
      <c r="R84" s="67" t="inlineStr">
        <is>
          <t>AETNA</t>
        </is>
      </c>
      <c r="S84" s="70" t="n">
        <v>5000</v>
      </c>
      <c r="T84" s="68" t="n">
        <v>68.75</v>
      </c>
      <c r="U84" s="69" t="n">
        <v>45967</v>
      </c>
      <c r="V84" s="69" t="n">
        <v>45997</v>
      </c>
      <c r="W84" s="68" t="n">
        <v>261900450</v>
      </c>
      <c r="X84" s="67" t="inlineStr">
        <is>
          <t>Nil</t>
        </is>
      </c>
      <c r="Y84" s="67" t="inlineStr">
        <is>
          <t>Wells Fargo</t>
        </is>
      </c>
      <c r="Z84" s="68" t="n">
        <v>61000227</v>
      </c>
      <c r="AA84" s="68" t="n">
        <v>13647547</v>
      </c>
      <c r="AB84" s="67" t="inlineStr">
        <is>
          <t>Neck Surgery, Knee Surgery, HBP</t>
        </is>
      </c>
      <c r="AC84" s="67" t="inlineStr">
        <is>
          <t>Neck Surgery, Knee Surgery, HBP</t>
        </is>
      </c>
      <c r="AD84" s="67" t="inlineStr">
        <is>
          <t>N/A</t>
        </is>
      </c>
      <c r="AE84" s="68" t="n">
        <v>80</v>
      </c>
      <c r="AF84" s="80">
        <f t="array" ref="AF84">IFERROR(_xlfn.LET(_xlpm.rate,INDEX(aflac!$B$2:$E$37,MATCH($AE84,aflac!$A$2:$A$37,0),IF(LOWER(TRIM($F84))="male",IF(LOWER(TRIM($K84))="yes",2,1),IF(LOWER(TRIM($K84))="yes",4,3))),_xlpm.coverage,VALUE(SUBSTITUTE(SUBSTITUTE($S84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4" s="80">
        <f t="array" ref="AG84">IFERROR(_xlfn.LET(_xlpm.rate,INDEX('aflac-modified'!$B$2:$C$32,MATCH($AE84,'aflac-modified'!$A$2:$A$32,0),IF(LOWER(TRIM($F84))="male",1,2)),_xlpm.coverage,VALUE(SUBSTITUTE(SUBSTITUTE($S84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4" s="80">
        <f t="array" ref="AH84">IFERROR(_xlfn.LET(_xlpm.rate,INDEX(SBLI!$B$2:$E$37,MATCH($AE84,SBLI!$A$2:$A$37,0),IF(LOWER(TRIM($F84))="male",IF(LOWER(TRIM($K84))="yes",2,1),IF(LOWER(TRIM($K84))="yes",4,3))),_xlpm.coverage,VALUE(SUBSTITUTE(SUBSTITUTE($S84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4" s="80">
        <f t="array" ref="AI84">IFERROR(_xlfn.LET(_xlpm.rate,INDEX('SBLI-Modified'!$B$2:$E$27,MATCH($AE84,'SBLI-Modified'!$A$2:$A$27,0),IF(LOWER(TRIM($F84))="male",IF(LOWER(TRIM($K84))="yes",2,1),IF(LOWER(TRIM($K84))="yes",4,3))),_xlpm.coverage,VALUE(SUBSTITUTE(SUBSTITUTE($S84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4" s="80">
        <f t="array" ref="AJ84">IFERROR(_xlfn.LET(_xlpm.rate,INDEX(CICA!$B$2:$C$42,MATCH($AE84,CICA!$A$2:$A$42,0),IF(LOWER(TRIM($F84))="male",1,2)),_xlpm.coverage,VALUE(SUBSTITUTE(SUBSTITUTE($S84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4" s="80">
        <f t="array" ref="AK84">IFERROR(_xlfn.LET(_xlpm.rate,INDEX('CICA-GI'!$B$2:$C$47,MATCH($AE84,'CICA-GI'!$A$2:$A$47,0),IF(LOWER(TRIM($F84))="male",1,2)),_xlpm.coverage,VALUE(SUBSTITUTE(SUBSTITUTE($S84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4" s="80">
        <f t="array" ref="AL84">IFERROR(_xlfn.LET(_xlpm.rate,INDEX(gtl!$B$2:$C$52,MATCH($AE84,gtl!$A$2:$A$52,0),IF(LOWER(TRIM($F84))="male",1,2)),_xlpm.coverage,VALUE(SUBSTITUTE(SUBSTITUTE($S84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4" s="80">
        <f t="array" ref="AM84">IFERROR(_xlfn.LET(_xlpm.rate,INDEX(TransAmerica!$B$2:$E$69,MATCH($AE84,TransAmerica!$A$2:$A$69,0),IF(LOWER(TRIM($F84))="male",IF(LOWER(TRIM($K84))="yes",2,1),IF(LOWER(TRIM($K84))="yes",4,3))),_xlpm.coverage,VALUE(SUBSTITUTE(SUBSTITUTE($S84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4" s="80">
        <f t="array" ref="AN84">IFERROR(_xlfn.LET(_xlpm.rate,INDEX('TransAmerica Graded'!$B$2:$E$64,MATCH($AE84,'TransAmerica Graded'!$A$2:$A$64,0),IF(LOWER(TRIM($F84))="male",IF(LOWER(TRIM($K84))="yes",2,1),IF(LOWER(TRIM($K84))="yes",4,3))),_xlpm.coverage,VALUE(SUBSTITUTE(SUBSTITUTE($S84,"$",""),",","")),_xlpm.base,_xlpm.rate*(_xlpm.coverage/1000),_xlpm.fee,_xlfn.XLOOKUP("TransAmerica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4" s="80">
        <f t="array" ref="AO84">IFERROR(_xlfn.LET(_xlpm.rate,INDEX(Corebridge!$B$2:$C$32,MATCH($AE84,Corebridge!$A$2:$A$32,0),IF(LOWER(TRIM($F84))="male",1,2)),_xlpm.coverage,VALUE(SUBSTITUTE(SUBSTITUTE($S84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4" s="80">
        <f t="array" ref="AP84">IFERROR(_xlfn.LET(_xlpm.rate,INDEX(amam!$B$2:$E$37,MATCH($AE84,amam!$A$2:$A$37,0),IF(LOWER(TRIM($F84))="male",IF(LOWER(TRIM($K84))="yes",2,1),IF(LOWER(TRIM($K84))="yes",4,3))),_xlpm.coverage,VALUE(SUBSTITUTE(SUBSTITUTE($S84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4" s="80">
        <f t="array" ref="AQ84">IFERROR(_xlfn.LET(_xlpm.rate,INDEX('amam-graded'!$B$2:$E$37,MATCH($AE84,'amam-graded'!$A$2:$A$37,0),IF(LOWER(TRIM($F84))="male",IF(LOWER(TRIM($K84))="yes",2,1),IF(LOWER(TRIM($K84))="yes",4,3))),_xlpm.coverage,VALUE(SUBSTITUTE(SUBSTITUTE($S84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4" s="80">
        <f t="array" ref="AR84">IFERROR(_xlfn.LET(_xlpm.rate,INDEX('amam-return-or-premium'!$B$2:$E$37,MATCH($AE84,'amam-return-or-premium'!$A$2:$A$37,0),IF(LOWER(TRIM($F84))="male",IF(LOWER(TRIM($K84))="yes",2,1),IF(LOWER(TRIM($K84))="yes",4,3))),_xlpm.coverage,VALUE(SUBSTITUTE(SUBSTITUTE($S84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4" s="80">
        <f t="array" ref="AS84">IFERROR(_xlfn.LET(_xlpm.rate,INDEX(AHL!$B$2:$E$37,MATCH($AE84,AHL!$A$2:$A$37,0),IF(LOWER(TRIM($F84))="male",IF(LOWER(TRIM($K84))="yes",2,1),IF(LOWER(TRIM($K84))="yes",4,3))),_xlpm.coverage,VALUE(SUBSTITUTE(SUBSTITUTE($S84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4" s="80">
        <f t="array" ref="AT84">IFERROR(_xlfn.LET(_xlpm.rate,INDEX('AHL-Graded'!$B$2:$E$32,MATCH($AE84,'AHL-Graded'!$A$2:$A$32,0),IF(LOWER(TRIM($F84))="male",IF(LOWER(TRIM($K84))="yes",2,1),IF(LOWER(TRIM($K84))="yes",4,3))),_xlpm.coverage,VALUE(SUBSTITUTE(SUBSTITUTE($S84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4" s="80">
        <f t="array" ref="AU84">IFERROR(_xlfn.LET(_xlpm.rate,INDEX('Royal Neighbors'!$B$2:$E$37,MATCH($AE84,'Royal Neighbors'!$A$2:$A$37,0),IF(LOWER(TRIM($F84))="male",IF(LOWER(TRIM($K84))="yes",2,1),IF(LOWER(TRIM($K84))="yes",4,3))),_xlpm.coverage,VALUE(SUBSTITUTE(SUBSTITUTE($S84,"$",""),",","")),_xlpm.base,_xlpm.rate*(_xlpm.coverage/1000),_xlpm.fee,_xlfn.XLOOKUP("Royal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4" s="80">
        <f t="array" ref="AV84">IFERROR(_xlfn.LET(_xlpm.rate,INDEX('Royal Neighbors-Graded'!$B$2:$E$37,MATCH($AE84,'Royal Neighbors-Graded'!$A$2:$A$37,0),IF(LOWER(TRIM($F84))="male",IF(LOWER(TRIM($K84))="yes",2,1),IF(LOWER(TRIM($K84))="yes",4,3))),_xlpm.coverage,VALUE(SUBSTITUTE(SUBSTITUTE($S84,"$",""),",","")),_xlpm.base,_xlpm.rate*(_xlpm.coverage/1000),_xlpm.fee,_xlfn.XLOOKUP("Royal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4" s="80">
        <f t="array" ref="AW84">IFERROR(_xlfn.LET(_xlpm.rate,INDEX('Gerber-GI'!$B$2:$C$32,MATCH($AE84,'Gerber-GI'!$A$2:$A$32,0),IF(LOWER(TRIM($F84))="male",1,2)),_xlpm.coverage,VALUE(SUBSTITUTE(SUBSTITUTE($S84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4" s="80">
        <f t="array" ref="AX84">IFERROR(_xlfn.LET(_xlpm.rate,INDEX('Mutual of Omaha'!$B$2:$E$42,MATCH($AE84,'Mutual of Omaha'!$A$2:$A$42,0),IF(LOWER(TRIM($F84))="male",IF(LOWER(TRIM($K84))="yes",2,1),IF(LOWER(TRIM($K84))="yes",4,3))),_xlpm.coverage,VALUE(SUBSTITUTE(SUBSTITUTE($S84,"$",""),",","")),_xlpm.base,_xlpm.rate*(_xlpm.coverage/1000),_xlpm.fee,_xlfn.XLOOKUP("Mutal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4" s="80">
        <f t="array" ref="AY84">IFERROR(_xlfn.LET(_xlpm.rate,INDEX('Mutual of Omaha-Graded'!$B$2:$E$37,MATCH($AE84,'Mutual of Omaha-Graded'!$A$2:$A$37,0),IF(LOWER(TRIM($F84))="male",IF(LOWER(TRIM($K84))="yes",2,1),IF(LOWER(TRIM($K84))="yes",4,3))),_xlpm.coverage,VALUE(SUBSTITUTE(SUBSTITUTE($S84,"$",""),",","")),_xlpm.base,_xlpm.rate*(_xlpm.coverage/1000),_xlpm.fee,_xlfn.XLOOKUP("Mutual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4" s="80">
        <f>AP84</f>
        <v/>
      </c>
      <c r="BA84" s="80">
        <f>IFERROR(IF(AND(AP84&gt;0,AP84&lt;VALUE(SUBSTITUTE(SUBSTITUTE($T84,"$",""),",",""))),VALUE(SUBSTITUTE(SUBSTITUTE($T84,"$",""),",",""))-AP84,""),"")</f>
        <v/>
      </c>
      <c r="BB84" s="80">
        <f>AL84</f>
        <v/>
      </c>
      <c r="BC84" s="80">
        <f>IFERROR(IF(AND(AL84&gt;0,AL84&lt;VALUE(SUBSTITUTE(SUBSTITUTE($T84,"$",""),",",""))),VALUE(SUBSTITUTE(SUBSTITUTE($T84,"$",""),",",""))-AL84,""),"")</f>
        <v/>
      </c>
      <c r="BD84">
        <f t="array" ref="BD84">IFERROR(_xlfn.LET(_xlpm.current,VALUE(SUBSTITUTE(SUBSTITUTE($T84,"$",""),",","")),_xlpm.quotes,AF84:AY84,_xlpm.lowest,_xlfn.MINIFS(_xlpm.quotes,_xlpm.quotes,"&lt;"&amp;_xlpm.current,_xlpm.quotes,"&gt;0"),IF(_xlpm.lowest="","",SUBSTITUTE(INDEX($AF$1:$AY$1,1,MATCH(_xlpm.lowest,_xlpm.quotes,0))," Monthly Quote",""))),"")</f>
        <v/>
      </c>
      <c r="BE84" s="80">
        <f t="array" ref="BE84">IFERROR(_xlfn.LET(_xlpm.current,VALUE(SUBSTITUTE(SUBSTITUTE($T84,"$",""),",","")),_xlpm.quotes,AF84:AY84,_xlpm.lowest,_xlfn.MINIFS(_xlpm.quotes,_xlpm.quotes,"&lt;"&amp;_xlpm.current,_xlpm.quotes,"&gt;0"),IF(_xlpm.lowest="","",_xlpm.current-_xlpm.lowest)),"")</f>
        <v/>
      </c>
    </row>
    <row r="85">
      <c r="A85" s="67" t="inlineStr">
        <is>
          <t>Karen N</t>
        </is>
      </c>
      <c r="B85" s="67" t="inlineStr">
        <is>
          <t>Williams</t>
        </is>
      </c>
      <c r="C85" s="68" t="n">
        <v>9016502786</v>
      </c>
      <c r="D85" s="68" t="n">
        <v>53</v>
      </c>
      <c r="E85" s="69" t="n">
        <v>26351</v>
      </c>
      <c r="F85" s="67" t="inlineStr">
        <is>
          <t>Female</t>
        </is>
      </c>
      <c r="G85" s="67" t="inlineStr">
        <is>
          <t>2590 Jumper Ln Memphis TN 38134</t>
        </is>
      </c>
      <c r="H85" s="67" t="inlineStr">
        <is>
          <t>TN</t>
        </is>
      </c>
      <c r="I85" s="68" t="n">
        <v>5.5</v>
      </c>
      <c r="J85" s="68" t="n">
        <v>165</v>
      </c>
      <c r="K85" s="67" t="inlineStr">
        <is>
          <t>No</t>
        </is>
      </c>
      <c r="L85" s="67" t="n"/>
      <c r="M85" s="67" t="inlineStr">
        <is>
          <t>burial</t>
        </is>
      </c>
      <c r="N85" s="67" t="inlineStr">
        <is>
          <t>Gregory Williams: 06/17/1995</t>
        </is>
      </c>
      <c r="O85" s="67" t="inlineStr">
        <is>
          <t>SON</t>
        </is>
      </c>
      <c r="P85" s="67" t="n"/>
      <c r="Q85" s="67" t="n"/>
      <c r="R85" s="67" t="inlineStr">
        <is>
          <t>Aetna</t>
        </is>
      </c>
      <c r="S85" s="70" t="n">
        <v>20000</v>
      </c>
      <c r="T85" s="71" t="n">
        <v>56.5</v>
      </c>
      <c r="U85" s="69" t="n">
        <v>45987</v>
      </c>
      <c r="V85" s="69" t="n">
        <v>46015</v>
      </c>
      <c r="W85" s="68" t="n">
        <v>410453965</v>
      </c>
      <c r="X85" s="67" t="inlineStr">
        <is>
          <t>no</t>
        </is>
      </c>
      <c r="Y85" s="67" t="inlineStr">
        <is>
          <t>Regions Banks</t>
        </is>
      </c>
      <c r="Z85" s="68" t="n">
        <v>64000017</v>
      </c>
      <c r="AA85" s="68" t="n">
        <v>361077178</v>
      </c>
      <c r="AB85" s="67" t="inlineStr">
        <is>
          <t>no</t>
        </is>
      </c>
      <c r="AC85" s="67" t="inlineStr">
        <is>
          <t>Brilinta Hydroxyzine Losartan Atorvastatin</t>
        </is>
      </c>
      <c r="AD85" s="67" t="inlineStr">
        <is>
          <t>Dr: Adrienne Smith</t>
        </is>
      </c>
      <c r="AE85" s="68" t="n">
        <v>54</v>
      </c>
      <c r="AF85" s="80">
        <f t="array" ref="AF85">IFERROR(_xlfn.LET(_xlpm.rate,INDEX(aflac!$B$2:$E$37,MATCH($AE85,aflac!$A$2:$A$37,0),IF(LOWER(TRIM($F85))="male",IF(LOWER(TRIM($K85))="yes",2,1),IF(LOWER(TRIM($K85))="yes",4,3))),_xlpm.coverage,VALUE(SUBSTITUTE(SUBSTITUTE($S85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5" s="80">
        <f t="array" ref="AG85">IFERROR(_xlfn.LET(_xlpm.rate,INDEX('aflac-modified'!$B$2:$C$32,MATCH($AE85,'aflac-modified'!$A$2:$A$32,0),IF(LOWER(TRIM($F85))="male",1,2)),_xlpm.coverage,VALUE(SUBSTITUTE(SUBSTITUTE($S85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5" s="80">
        <f t="array" ref="AH85">IFERROR(_xlfn.LET(_xlpm.rate,INDEX(SBLI!$B$2:$E$37,MATCH($AE85,SBLI!$A$2:$A$37,0),IF(LOWER(TRIM($F85))="male",IF(LOWER(TRIM($K85))="yes",2,1),IF(LOWER(TRIM($K85))="yes",4,3))),_xlpm.coverage,VALUE(SUBSTITUTE(SUBSTITUTE($S85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5" s="80">
        <f t="array" ref="AI85">IFERROR(_xlfn.LET(_xlpm.rate,INDEX('SBLI-Modified'!$B$2:$E$27,MATCH($AE85,'SBLI-Modified'!$A$2:$A$27,0),IF(LOWER(TRIM($F85))="male",IF(LOWER(TRIM($K85))="yes",2,1),IF(LOWER(TRIM($K85))="yes",4,3))),_xlpm.coverage,VALUE(SUBSTITUTE(SUBSTITUTE($S85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5" s="80">
        <f t="array" ref="AJ85">IFERROR(_xlfn.LET(_xlpm.rate,INDEX(CICA!$B$2:$C$42,MATCH($AE85,CICA!$A$2:$A$42,0),IF(LOWER(TRIM($F85))="male",1,2)),_xlpm.coverage,VALUE(SUBSTITUTE(SUBSTITUTE($S85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5" s="80">
        <f t="array" ref="AK85">IFERROR(_xlfn.LET(_xlpm.rate,INDEX('CICA-GI'!$B$2:$C$47,MATCH($AE85,'CICA-GI'!$A$2:$A$47,0),IF(LOWER(TRIM($F85))="male",1,2)),_xlpm.coverage,VALUE(SUBSTITUTE(SUBSTITUTE($S85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5" s="80">
        <f t="array" ref="AL85">IFERROR(_xlfn.LET(_xlpm.rate,INDEX(gtl!$B$2:$C$52,MATCH($AE85,gtl!$A$2:$A$52,0),IF(LOWER(TRIM($F85))="male",1,2)),_xlpm.coverage,VALUE(SUBSTITUTE(SUBSTITUTE($S85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5" s="80">
        <f t="array" ref="AM85">IFERROR(_xlfn.LET(_xlpm.rate,INDEX(TransAmerica!$B$2:$E$69,MATCH($AE85,TransAmerica!$A$2:$A$69,0),IF(LOWER(TRIM($F85))="male",IF(LOWER(TRIM($K85))="yes",2,1),IF(LOWER(TRIM($K85))="yes",4,3))),_xlpm.coverage,VALUE(SUBSTITUTE(SUBSTITUTE($S85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5" s="80">
        <f t="array" ref="AN85">IFERROR(_xlfn.LET(_xlpm.rate,INDEX('TransAmerica Graded'!$B$2:$E$64,MATCH($AE85,'TransAmerica Graded'!$A$2:$A$64,0),IF(LOWER(TRIM($F85))="male",IF(LOWER(TRIM($K85))="yes",2,1),IF(LOWER(TRIM($K85))="yes",4,3))),_xlpm.coverage,VALUE(SUBSTITUTE(SUBSTITUTE($S85,"$",""),",","")),_xlpm.base,_xlpm.rate*(_xlpm.coverage/1000),_xlpm.fee,_xlfn.XLOOKUP("TransAmerica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5" s="80">
        <f t="array" ref="AO85">IFERROR(_xlfn.LET(_xlpm.rate,INDEX(Corebridge!$B$2:$C$32,MATCH($AE85,Corebridge!$A$2:$A$32,0),IF(LOWER(TRIM($F85))="male",1,2)),_xlpm.coverage,VALUE(SUBSTITUTE(SUBSTITUTE($S85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5" s="80">
        <f t="array" ref="AP85">IFERROR(_xlfn.LET(_xlpm.rate,INDEX(amam!$B$2:$E$37,MATCH($AE85,amam!$A$2:$A$37,0),IF(LOWER(TRIM($F85))="male",IF(LOWER(TRIM($K85))="yes",2,1),IF(LOWER(TRIM($K85))="yes",4,3))),_xlpm.coverage,VALUE(SUBSTITUTE(SUBSTITUTE($S85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5" s="80">
        <f t="array" ref="AQ85">IFERROR(_xlfn.LET(_xlpm.rate,INDEX('amam-graded'!$B$2:$E$37,MATCH($AE85,'amam-graded'!$A$2:$A$37,0),IF(LOWER(TRIM($F85))="male",IF(LOWER(TRIM($K85))="yes",2,1),IF(LOWER(TRIM($K85))="yes",4,3))),_xlpm.coverage,VALUE(SUBSTITUTE(SUBSTITUTE($S85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5" s="80">
        <f t="array" ref="AR85">IFERROR(_xlfn.LET(_xlpm.rate,INDEX('amam-return-or-premium'!$B$2:$E$37,MATCH($AE85,'amam-return-or-premium'!$A$2:$A$37,0),IF(LOWER(TRIM($F85))="male",IF(LOWER(TRIM($K85))="yes",2,1),IF(LOWER(TRIM($K85))="yes",4,3))),_xlpm.coverage,VALUE(SUBSTITUTE(SUBSTITUTE($S85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5" s="80">
        <f t="array" ref="AS85">IFERROR(_xlfn.LET(_xlpm.rate,INDEX(AHL!$B$2:$E$37,MATCH($AE85,AHL!$A$2:$A$37,0),IF(LOWER(TRIM($F85))="male",IF(LOWER(TRIM($K85))="yes",2,1),IF(LOWER(TRIM($K85))="yes",4,3))),_xlpm.coverage,VALUE(SUBSTITUTE(SUBSTITUTE($S85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5" s="80">
        <f t="array" ref="AT85">IFERROR(_xlfn.LET(_xlpm.rate,INDEX('AHL-Graded'!$B$2:$E$32,MATCH($AE85,'AHL-Graded'!$A$2:$A$32,0),IF(LOWER(TRIM($F85))="male",IF(LOWER(TRIM($K85))="yes",2,1),IF(LOWER(TRIM($K85))="yes",4,3))),_xlpm.coverage,VALUE(SUBSTITUTE(SUBSTITUTE($S85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5" s="80">
        <f t="array" ref="AU85">IFERROR(_xlfn.LET(_xlpm.rate,INDEX('Royal Neighbors'!$B$2:$E$37,MATCH($AE85,'Royal Neighbors'!$A$2:$A$37,0),IF(LOWER(TRIM($F85))="male",IF(LOWER(TRIM($K85))="yes",2,1),IF(LOWER(TRIM($K85))="yes",4,3))),_xlpm.coverage,VALUE(SUBSTITUTE(SUBSTITUTE($S85,"$",""),",","")),_xlpm.base,_xlpm.rate*(_xlpm.coverage/1000),_xlpm.fee,_xlfn.XLOOKUP("Royal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5" s="80">
        <f t="array" ref="AV85">IFERROR(_xlfn.LET(_xlpm.rate,INDEX('Royal Neighbors-Graded'!$B$2:$E$37,MATCH($AE85,'Royal Neighbors-Graded'!$A$2:$A$37,0),IF(LOWER(TRIM($F85))="male",IF(LOWER(TRIM($K85))="yes",2,1),IF(LOWER(TRIM($K85))="yes",4,3))),_xlpm.coverage,VALUE(SUBSTITUTE(SUBSTITUTE($S85,"$",""),",","")),_xlpm.base,_xlpm.rate*(_xlpm.coverage/1000),_xlpm.fee,_xlfn.XLOOKUP("Royal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5" s="80">
        <f t="array" ref="AW85">IFERROR(_xlfn.LET(_xlpm.rate,INDEX('Gerber-GI'!$B$2:$C$32,MATCH($AE85,'Gerber-GI'!$A$2:$A$32,0),IF(LOWER(TRIM($F85))="male",1,2)),_xlpm.coverage,VALUE(SUBSTITUTE(SUBSTITUTE($S85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5" s="80">
        <f t="array" ref="AX85">IFERROR(_xlfn.LET(_xlpm.rate,INDEX('Mutual of Omaha'!$B$2:$E$42,MATCH($AE85,'Mutual of Omaha'!$A$2:$A$42,0),IF(LOWER(TRIM($F85))="male",IF(LOWER(TRIM($K85))="yes",2,1),IF(LOWER(TRIM($K85))="yes",4,3))),_xlpm.coverage,VALUE(SUBSTITUTE(SUBSTITUTE($S85,"$",""),",","")),_xlpm.base,_xlpm.rate*(_xlpm.coverage/1000),_xlpm.fee,_xlfn.XLOOKUP("Mutal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5" s="80">
        <f t="array" ref="AY85">IFERROR(_xlfn.LET(_xlpm.rate,INDEX('Mutual of Omaha-Graded'!$B$2:$E$37,MATCH($AE85,'Mutual of Omaha-Graded'!$A$2:$A$37,0),IF(LOWER(TRIM($F85))="male",IF(LOWER(TRIM($K85))="yes",2,1),IF(LOWER(TRIM($K85))="yes",4,3))),_xlpm.coverage,VALUE(SUBSTITUTE(SUBSTITUTE($S85,"$",""),",","")),_xlpm.base,_xlpm.rate*(_xlpm.coverage/1000),_xlpm.fee,_xlfn.XLOOKUP("Mutual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5" s="80">
        <f>AP85</f>
        <v/>
      </c>
      <c r="BA85" s="80">
        <f>IFERROR(IF(AND(AP85&gt;0,AP85&lt;VALUE(SUBSTITUTE(SUBSTITUTE($T85,"$",""),",",""))),VALUE(SUBSTITUTE(SUBSTITUTE($T85,"$",""),",",""))-AP85,""),"")</f>
        <v/>
      </c>
      <c r="BB85" s="80">
        <f>AL85</f>
        <v/>
      </c>
      <c r="BC85" s="80">
        <f>IFERROR(IF(AND(AL85&gt;0,AL85&lt;VALUE(SUBSTITUTE(SUBSTITUTE($T85,"$",""),",",""))),VALUE(SUBSTITUTE(SUBSTITUTE($T85,"$",""),",",""))-AL85,""),"")</f>
        <v/>
      </c>
      <c r="BD85">
        <f t="array" ref="BD85">IFERROR(_xlfn.LET(_xlpm.current,VALUE(SUBSTITUTE(SUBSTITUTE($T85,"$",""),",","")),_xlpm.quotes,AF85:AY85,_xlpm.lowest,_xlfn.MINIFS(_xlpm.quotes,_xlpm.quotes,"&lt;"&amp;_xlpm.current,_xlpm.quotes,"&gt;0"),IF(_xlpm.lowest="","",SUBSTITUTE(INDEX($AF$1:$AY$1,1,MATCH(_xlpm.lowest,_xlpm.quotes,0))," Monthly Quote",""))),"")</f>
        <v/>
      </c>
      <c r="BE85" s="80">
        <f t="array" ref="BE85">IFERROR(_xlfn.LET(_xlpm.current,VALUE(SUBSTITUTE(SUBSTITUTE($T85,"$",""),",","")),_xlpm.quotes,AF85:AY85,_xlpm.lowest,_xlfn.MINIFS(_xlpm.quotes,_xlpm.quotes,"&lt;"&amp;_xlpm.current,_xlpm.quotes,"&gt;0"),IF(_xlpm.lowest="","",_xlpm.current-_xlpm.lowest)),"")</f>
        <v/>
      </c>
    </row>
    <row r="86">
      <c r="A86" s="67" t="inlineStr">
        <is>
          <t>Menona A</t>
        </is>
      </c>
      <c r="B86" s="67" t="inlineStr">
        <is>
          <t>Silver</t>
        </is>
      </c>
      <c r="C86" s="68" t="n">
        <v>4124810937</v>
      </c>
      <c r="D86" s="68" t="n">
        <v>87</v>
      </c>
      <c r="E86" s="69" t="n">
        <v>14150</v>
      </c>
      <c r="F86" s="67" t="inlineStr">
        <is>
          <t>Female</t>
        </is>
      </c>
      <c r="G86" s="67" t="inlineStr">
        <is>
          <t>5 Sylvania Ave Pittsburgh PA 15210</t>
        </is>
      </c>
      <c r="H86" s="67" t="inlineStr">
        <is>
          <t>PA</t>
        </is>
      </c>
      <c r="I86" s="68" t="n">
        <v>5.4</v>
      </c>
      <c r="J86" s="68" t="n">
        <v>98</v>
      </c>
      <c r="K86" s="67" t="inlineStr">
        <is>
          <t>No</t>
        </is>
      </c>
      <c r="L86" s="67" t="n"/>
      <c r="M86" s="67" t="inlineStr">
        <is>
          <t>Cremation</t>
        </is>
      </c>
      <c r="N86" s="67" t="inlineStr">
        <is>
          <t>Terry Neal: 11/02/1961</t>
        </is>
      </c>
      <c r="O86" s="67" t="inlineStr">
        <is>
          <t>Son</t>
        </is>
      </c>
      <c r="P86" s="67" t="n"/>
      <c r="Q86" s="67" t="n"/>
      <c r="R86" s="67" t="inlineStr">
        <is>
          <t>Aetna</t>
        </is>
      </c>
      <c r="S86" s="70" t="n">
        <v>2000</v>
      </c>
      <c r="T86" s="71" t="n">
        <v>42.07</v>
      </c>
      <c r="U86" s="69" t="n">
        <v>45973</v>
      </c>
      <c r="V86" s="69" t="n">
        <v>46003</v>
      </c>
      <c r="W86" s="68" t="n">
        <v>159322266</v>
      </c>
      <c r="X86" s="67" t="inlineStr">
        <is>
          <t>No</t>
        </is>
      </c>
      <c r="Y86" s="67" t="inlineStr">
        <is>
          <t>Citizens Bank</t>
        </is>
      </c>
      <c r="Z86" s="68" t="n">
        <v>36076150</v>
      </c>
      <c r="AA86" s="68" t="n">
        <v>6102928443</v>
      </c>
      <c r="AB86" s="67" t="inlineStr">
        <is>
          <t>NO</t>
        </is>
      </c>
      <c r="AC86" s="67" t="inlineStr">
        <is>
          <t>no</t>
        </is>
      </c>
      <c r="AD86" s="67" t="inlineStr">
        <is>
          <t>Dr. Norman Frey</t>
        </is>
      </c>
      <c r="AE86" s="68" t="n">
        <v>87</v>
      </c>
      <c r="AF86" s="80">
        <f t="array" ref="AF86">IFERROR(_xlfn.LET(_xlpm.rate,INDEX(aflac!$B$2:$E$37,MATCH($AE86,aflac!$A$2:$A$37,0),IF(LOWER(TRIM($F86))="male",IF(LOWER(TRIM($K86))="yes",2,1),IF(LOWER(TRIM($K86))="yes",4,3))),_xlpm.coverage,VALUE(SUBSTITUTE(SUBSTITUTE($S86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6" s="80">
        <f t="array" ref="AG86">IFERROR(_xlfn.LET(_xlpm.rate,INDEX('aflac-modified'!$B$2:$C$32,MATCH($AE86,'aflac-modified'!$A$2:$A$32,0),IF(LOWER(TRIM($F86))="male",1,2)),_xlpm.coverage,VALUE(SUBSTITUTE(SUBSTITUTE($S86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6" s="80">
        <f t="array" ref="AH86">IFERROR(_xlfn.LET(_xlpm.rate,INDEX(SBLI!$B$2:$E$37,MATCH($AE86,SBLI!$A$2:$A$37,0),IF(LOWER(TRIM($F86))="male",IF(LOWER(TRIM($K86))="yes",2,1),IF(LOWER(TRIM($K86))="yes",4,3))),_xlpm.coverage,VALUE(SUBSTITUTE(SUBSTITUTE($S86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6" s="80">
        <f t="array" ref="AI86">IFERROR(_xlfn.LET(_xlpm.rate,INDEX('SBLI-Modified'!$B$2:$E$27,MATCH($AE86,'SBLI-Modified'!$A$2:$A$27,0),IF(LOWER(TRIM($F86))="male",IF(LOWER(TRIM($K86))="yes",2,1),IF(LOWER(TRIM($K86))="yes",4,3))),_xlpm.coverage,VALUE(SUBSTITUTE(SUBSTITUTE($S86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6" s="80">
        <f t="array" ref="AJ86">IFERROR(_xlfn.LET(_xlpm.rate,INDEX(CICA!$B$2:$C$42,MATCH($AE86,CICA!$A$2:$A$42,0),IF(LOWER(TRIM($F86))="male",1,2)),_xlpm.coverage,VALUE(SUBSTITUTE(SUBSTITUTE($S86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6" s="80">
        <f t="array" ref="AK86">IFERROR(_xlfn.LET(_xlpm.rate,INDEX('CICA-GI'!$B$2:$C$47,MATCH($AE86,'CICA-GI'!$A$2:$A$47,0),IF(LOWER(TRIM($F86))="male",1,2)),_xlpm.coverage,VALUE(SUBSTITUTE(SUBSTITUTE($S86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6" s="80">
        <f t="array" ref="AL86">IFERROR(_xlfn.LET(_xlpm.rate,INDEX(gtl!$B$2:$C$52,MATCH($AE86,gtl!$A$2:$A$52,0),IF(LOWER(TRIM($F86))="male",1,2)),_xlpm.coverage,VALUE(SUBSTITUTE(SUBSTITUTE($S86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6" s="80">
        <f t="array" ref="AM86">IFERROR(_xlfn.LET(_xlpm.rate,INDEX(TransAmerica!$B$2:$E$69,MATCH($AE86,TransAmerica!$A$2:$A$69,0),IF(LOWER(TRIM($F86))="male",IF(LOWER(TRIM($K86))="yes",2,1),IF(LOWER(TRIM($K86))="yes",4,3))),_xlpm.coverage,VALUE(SUBSTITUTE(SUBSTITUTE($S86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6" s="80">
        <f t="array" ref="AN86">IFERROR(_xlfn.LET(_xlpm.rate,INDEX('TransAmerica Graded'!$B$2:$E$64,MATCH($AE86,'TransAmerica Graded'!$A$2:$A$64,0),IF(LOWER(TRIM($F86))="male",IF(LOWER(TRIM($K86))="yes",2,1),IF(LOWER(TRIM($K86))="yes",4,3))),_xlpm.coverage,VALUE(SUBSTITUTE(SUBSTITUTE($S86,"$",""),",","")),_xlpm.base,_xlpm.rate*(_xlpm.coverage/1000),_xlpm.fee,_xlfn.XLOOKUP("TransAmerica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6" s="80">
        <f t="array" ref="AO86">IFERROR(_xlfn.LET(_xlpm.rate,INDEX(Corebridge!$B$2:$C$32,MATCH($AE86,Corebridge!$A$2:$A$32,0),IF(LOWER(TRIM($F86))="male",1,2)),_xlpm.coverage,VALUE(SUBSTITUTE(SUBSTITUTE($S86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6" s="80">
        <f t="array" ref="AP86">IFERROR(_xlfn.LET(_xlpm.rate,INDEX(amam!$B$2:$E$37,MATCH($AE86,amam!$A$2:$A$37,0),IF(LOWER(TRIM($F86))="male",IF(LOWER(TRIM($K86))="yes",2,1),IF(LOWER(TRIM($K86))="yes",4,3))),_xlpm.coverage,VALUE(SUBSTITUTE(SUBSTITUTE($S86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6" s="80">
        <f t="array" ref="AQ86">IFERROR(_xlfn.LET(_xlpm.rate,INDEX('amam-graded'!$B$2:$E$37,MATCH($AE86,'amam-graded'!$A$2:$A$37,0),IF(LOWER(TRIM($F86))="male",IF(LOWER(TRIM($K86))="yes",2,1),IF(LOWER(TRIM($K86))="yes",4,3))),_xlpm.coverage,VALUE(SUBSTITUTE(SUBSTITUTE($S86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6" s="80">
        <f t="array" ref="AR86">IFERROR(_xlfn.LET(_xlpm.rate,INDEX('amam-return-or-premium'!$B$2:$E$37,MATCH($AE86,'amam-return-or-premium'!$A$2:$A$37,0),IF(LOWER(TRIM($F86))="male",IF(LOWER(TRIM($K86))="yes",2,1),IF(LOWER(TRIM($K86))="yes",4,3))),_xlpm.coverage,VALUE(SUBSTITUTE(SUBSTITUTE($S86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6" s="80">
        <f t="array" ref="AS86">IFERROR(_xlfn.LET(_xlpm.rate,INDEX(AHL!$B$2:$E$37,MATCH($AE86,AHL!$A$2:$A$37,0),IF(LOWER(TRIM($F86))="male",IF(LOWER(TRIM($K86))="yes",2,1),IF(LOWER(TRIM($K86))="yes",4,3))),_xlpm.coverage,VALUE(SUBSTITUTE(SUBSTITUTE($S86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6" s="80">
        <f t="array" ref="AT86">IFERROR(_xlfn.LET(_xlpm.rate,INDEX('AHL-Graded'!$B$2:$E$32,MATCH($AE86,'AHL-Graded'!$A$2:$A$32,0),IF(LOWER(TRIM($F86))="male",IF(LOWER(TRIM($K86))="yes",2,1),IF(LOWER(TRIM($K86))="yes",4,3))),_xlpm.coverage,VALUE(SUBSTITUTE(SUBSTITUTE($S86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6" s="80">
        <f t="array" ref="AU86">IFERROR(_xlfn.LET(_xlpm.rate,INDEX('Royal Neighbors'!$B$2:$E$37,MATCH($AE86,'Royal Neighbors'!$A$2:$A$37,0),IF(LOWER(TRIM($F86))="male",IF(LOWER(TRIM($K86))="yes",2,1),IF(LOWER(TRIM($K86))="yes",4,3))),_xlpm.coverage,VALUE(SUBSTITUTE(SUBSTITUTE($S86,"$",""),",","")),_xlpm.base,_xlpm.rate*(_xlpm.coverage/1000),_xlpm.fee,_xlfn.XLOOKUP("Royal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6" s="80">
        <f t="array" ref="AV86">IFERROR(_xlfn.LET(_xlpm.rate,INDEX('Royal Neighbors-Graded'!$B$2:$E$37,MATCH($AE86,'Royal Neighbors-Graded'!$A$2:$A$37,0),IF(LOWER(TRIM($F86))="male",IF(LOWER(TRIM($K86))="yes",2,1),IF(LOWER(TRIM($K86))="yes",4,3))),_xlpm.coverage,VALUE(SUBSTITUTE(SUBSTITUTE($S86,"$",""),",","")),_xlpm.base,_xlpm.rate*(_xlpm.coverage/1000),_xlpm.fee,_xlfn.XLOOKUP("Royal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6" s="80">
        <f t="array" ref="AW86">IFERROR(_xlfn.LET(_xlpm.rate,INDEX('Gerber-GI'!$B$2:$C$32,MATCH($AE86,'Gerber-GI'!$A$2:$A$32,0),IF(LOWER(TRIM($F86))="male",1,2)),_xlpm.coverage,VALUE(SUBSTITUTE(SUBSTITUTE($S86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6" s="80">
        <f t="array" ref="AX86">IFERROR(_xlfn.LET(_xlpm.rate,INDEX('Mutual of Omaha'!$B$2:$E$42,MATCH($AE86,'Mutual of Omaha'!$A$2:$A$42,0),IF(LOWER(TRIM($F86))="male",IF(LOWER(TRIM($K86))="yes",2,1),IF(LOWER(TRIM($K86))="yes",4,3))),_xlpm.coverage,VALUE(SUBSTITUTE(SUBSTITUTE($S86,"$",""),",","")),_xlpm.base,_xlpm.rate*(_xlpm.coverage/1000),_xlpm.fee,_xlfn.XLOOKUP("Mutal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6" s="80">
        <f t="array" ref="AY86">IFERROR(_xlfn.LET(_xlpm.rate,INDEX('Mutual of Omaha-Graded'!$B$2:$E$37,MATCH($AE86,'Mutual of Omaha-Graded'!$A$2:$A$37,0),IF(LOWER(TRIM($F86))="male",IF(LOWER(TRIM($K86))="yes",2,1),IF(LOWER(TRIM($K86))="yes",4,3))),_xlpm.coverage,VALUE(SUBSTITUTE(SUBSTITUTE($S86,"$",""),",","")),_xlpm.base,_xlpm.rate*(_xlpm.coverage/1000),_xlpm.fee,_xlfn.XLOOKUP("Mutual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6" s="80">
        <f>AP86</f>
        <v/>
      </c>
      <c r="BA86" s="80">
        <f>IFERROR(IF(AND(AP86&gt;0,AP86&lt;VALUE(SUBSTITUTE(SUBSTITUTE($T86,"$",""),",",""))),VALUE(SUBSTITUTE(SUBSTITUTE($T86,"$",""),",",""))-AP86,""),"")</f>
        <v/>
      </c>
      <c r="BB86" s="80">
        <f>AL86</f>
        <v/>
      </c>
      <c r="BC86" s="80">
        <f>IFERROR(IF(AND(AL86&gt;0,AL86&lt;VALUE(SUBSTITUTE(SUBSTITUTE($T86,"$",""),",",""))),VALUE(SUBSTITUTE(SUBSTITUTE($T86,"$",""),",",""))-AL86,""),"")</f>
        <v/>
      </c>
      <c r="BD86">
        <f t="array" ref="BD86">IFERROR(_xlfn.LET(_xlpm.current,VALUE(SUBSTITUTE(SUBSTITUTE($T86,"$",""),",","")),_xlpm.quotes,AF86:AY86,_xlpm.lowest,_xlfn.MINIFS(_xlpm.quotes,_xlpm.quotes,"&lt;"&amp;_xlpm.current,_xlpm.quotes,"&gt;0"),IF(_xlpm.lowest="","",SUBSTITUTE(INDEX($AF$1:$AY$1,1,MATCH(_xlpm.lowest,_xlpm.quotes,0))," Monthly Quote",""))),"")</f>
        <v/>
      </c>
      <c r="BE86" s="80">
        <f t="array" ref="BE86">IFERROR(_xlfn.LET(_xlpm.current,VALUE(SUBSTITUTE(SUBSTITUTE($T86,"$",""),",","")),_xlpm.quotes,AF86:AY86,_xlpm.lowest,_xlfn.MINIFS(_xlpm.quotes,_xlpm.quotes,"&lt;"&amp;_xlpm.current,_xlpm.quotes,"&gt;0"),IF(_xlpm.lowest="","",_xlpm.current-_xlpm.lowest)),"")</f>
        <v/>
      </c>
    </row>
    <row r="87">
      <c r="A87" s="67" t="inlineStr">
        <is>
          <t>Karen M</t>
        </is>
      </c>
      <c r="B87" s="67" t="inlineStr">
        <is>
          <t>Blount</t>
        </is>
      </c>
      <c r="C87" s="68" t="n">
        <v>4402525621</v>
      </c>
      <c r="D87" s="68" t="n">
        <v>68</v>
      </c>
      <c r="E87" s="69" t="n">
        <v>20978</v>
      </c>
      <c r="F87" s="67" t="inlineStr">
        <is>
          <t>Female</t>
        </is>
      </c>
      <c r="G87" s="67" t="inlineStr">
        <is>
          <t>22800 Rockside Rd #302 Bedford, OH 44146</t>
        </is>
      </c>
      <c r="H87" s="67" t="inlineStr">
        <is>
          <t>OH</t>
        </is>
      </c>
      <c r="I87" s="67" t="inlineStr">
        <is>
          <t>5'6</t>
        </is>
      </c>
      <c r="J87" s="68" t="n">
        <v>130</v>
      </c>
      <c r="K87" s="67" t="inlineStr">
        <is>
          <t>No</t>
        </is>
      </c>
      <c r="L87" s="67" t="n"/>
      <c r="M87" s="67" t="inlineStr">
        <is>
          <t>Cremation</t>
        </is>
      </c>
      <c r="N87" s="67" t="inlineStr">
        <is>
          <t>Curtis Mathews</t>
        </is>
      </c>
      <c r="O87" s="67" t="inlineStr">
        <is>
          <t>Son</t>
        </is>
      </c>
      <c r="P87" s="67" t="inlineStr">
        <is>
          <t>Nicole Blount</t>
        </is>
      </c>
      <c r="Q87" s="67" t="inlineStr">
        <is>
          <t>Daughter</t>
        </is>
      </c>
      <c r="R87" s="67" t="inlineStr">
        <is>
          <t>Aetna</t>
        </is>
      </c>
      <c r="S87" s="70" t="n">
        <v>10000</v>
      </c>
      <c r="T87" s="74" t="n">
        <v>51.83</v>
      </c>
      <c r="U87" s="69" t="n">
        <v>45973</v>
      </c>
      <c r="V87" s="69" t="n">
        <v>46001</v>
      </c>
      <c r="W87" s="68" t="n">
        <v>300560026</v>
      </c>
      <c r="X87" s="67" t="inlineStr">
        <is>
          <t>Nil</t>
        </is>
      </c>
      <c r="Y87" s="67" t="inlineStr">
        <is>
          <t>Karen M Blount</t>
        </is>
      </c>
      <c r="Z87" s="68" t="n">
        <v>44115809</v>
      </c>
      <c r="AA87" s="68" t="n">
        <v>1437376807</v>
      </c>
      <c r="AB87" s="67" t="inlineStr">
        <is>
          <t>Diabetes</t>
        </is>
      </c>
      <c r="AC87" s="67" t="inlineStr">
        <is>
          <t>Metformin, Atorvastatin, Lisinopril</t>
        </is>
      </c>
      <c r="AD87" s="67" t="inlineStr">
        <is>
          <t>Dr. Joseph Martin</t>
        </is>
      </c>
      <c r="AE87" s="68" t="n">
        <v>69</v>
      </c>
      <c r="AF87" s="80">
        <f t="array" ref="AF87">IFERROR(_xlfn.LET(_xlpm.rate,INDEX(aflac!$B$2:$E$37,MATCH($AE87,aflac!$A$2:$A$37,0),IF(LOWER(TRIM($F87))="male",IF(LOWER(TRIM($K87))="yes",2,1),IF(LOWER(TRIM($K87))="yes",4,3))),_xlpm.coverage,VALUE(SUBSTITUTE(SUBSTITUTE($S87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7" s="80">
        <f t="array" ref="AG87">IFERROR(_xlfn.LET(_xlpm.rate,INDEX('aflac-modified'!$B$2:$C$32,MATCH($AE87,'aflac-modified'!$A$2:$A$32,0),IF(LOWER(TRIM($F87))="male",1,2)),_xlpm.coverage,VALUE(SUBSTITUTE(SUBSTITUTE($S87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7" s="80">
        <f t="array" ref="AH87">IFERROR(_xlfn.LET(_xlpm.rate,INDEX(SBLI!$B$2:$E$37,MATCH($AE87,SBLI!$A$2:$A$37,0),IF(LOWER(TRIM($F87))="male",IF(LOWER(TRIM($K87))="yes",2,1),IF(LOWER(TRIM($K87))="yes",4,3))),_xlpm.coverage,VALUE(SUBSTITUTE(SUBSTITUTE($S87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7" s="80">
        <f t="array" ref="AI87">IFERROR(_xlfn.LET(_xlpm.rate,INDEX('SBLI-Modified'!$B$2:$E$27,MATCH($AE87,'SBLI-Modified'!$A$2:$A$27,0),IF(LOWER(TRIM($F87))="male",IF(LOWER(TRIM($K87))="yes",2,1),IF(LOWER(TRIM($K87))="yes",4,3))),_xlpm.coverage,VALUE(SUBSTITUTE(SUBSTITUTE($S87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7" s="80">
        <f t="array" ref="AJ87">IFERROR(_xlfn.LET(_xlpm.rate,INDEX(CICA!$B$2:$C$42,MATCH($AE87,CICA!$A$2:$A$42,0),IF(LOWER(TRIM($F87))="male",1,2)),_xlpm.coverage,VALUE(SUBSTITUTE(SUBSTITUTE($S87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7" s="80">
        <f t="array" ref="AK87">IFERROR(_xlfn.LET(_xlpm.rate,INDEX('CICA-GI'!$B$2:$C$47,MATCH($AE87,'CICA-GI'!$A$2:$A$47,0),IF(LOWER(TRIM($F87))="male",1,2)),_xlpm.coverage,VALUE(SUBSTITUTE(SUBSTITUTE($S87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7" s="80">
        <f t="array" ref="AL87">IFERROR(_xlfn.LET(_xlpm.rate,INDEX(gtl!$B$2:$C$52,MATCH($AE87,gtl!$A$2:$A$52,0),IF(LOWER(TRIM($F87))="male",1,2)),_xlpm.coverage,VALUE(SUBSTITUTE(SUBSTITUTE($S87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7" s="80">
        <f t="array" ref="AM87">IFERROR(_xlfn.LET(_xlpm.rate,INDEX(TransAmerica!$B$2:$E$69,MATCH($AE87,TransAmerica!$A$2:$A$69,0),IF(LOWER(TRIM($F87))="male",IF(LOWER(TRIM($K87))="yes",2,1),IF(LOWER(TRIM($K87))="yes",4,3))),_xlpm.coverage,VALUE(SUBSTITUTE(SUBSTITUTE($S87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7" s="80">
        <f t="array" ref="AN87">IFERROR(_xlfn.LET(_xlpm.rate,INDEX('TransAmerica Graded'!$B$2:$E$64,MATCH($AE87,'TransAmerica Graded'!$A$2:$A$64,0),IF(LOWER(TRIM($F87))="male",IF(LOWER(TRIM($K87))="yes",2,1),IF(LOWER(TRIM($K87))="yes",4,3))),_xlpm.coverage,VALUE(SUBSTITUTE(SUBSTITUTE($S87,"$",""),",","")),_xlpm.base,_xlpm.rate*(_xlpm.coverage/1000),_xlpm.fee,_xlfn.XLOOKUP("TransAmerica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7" s="80">
        <f t="array" ref="AO87">IFERROR(_xlfn.LET(_xlpm.rate,INDEX(Corebridge!$B$2:$C$32,MATCH($AE87,Corebridge!$A$2:$A$32,0),IF(LOWER(TRIM($F87))="male",1,2)),_xlpm.coverage,VALUE(SUBSTITUTE(SUBSTITUTE($S87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7" s="80">
        <f t="array" ref="AP87">IFERROR(_xlfn.LET(_xlpm.rate,INDEX(amam!$B$2:$E$37,MATCH($AE87,amam!$A$2:$A$37,0),IF(LOWER(TRIM($F87))="male",IF(LOWER(TRIM($K87))="yes",2,1),IF(LOWER(TRIM($K87))="yes",4,3))),_xlpm.coverage,VALUE(SUBSTITUTE(SUBSTITUTE($S87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7" s="80">
        <f t="array" ref="AQ87">IFERROR(_xlfn.LET(_xlpm.rate,INDEX('amam-graded'!$B$2:$E$37,MATCH($AE87,'amam-graded'!$A$2:$A$37,0),IF(LOWER(TRIM($F87))="male",IF(LOWER(TRIM($K87))="yes",2,1),IF(LOWER(TRIM($K87))="yes",4,3))),_xlpm.coverage,VALUE(SUBSTITUTE(SUBSTITUTE($S87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7" s="80">
        <f t="array" ref="AR87">IFERROR(_xlfn.LET(_xlpm.rate,INDEX('amam-return-or-premium'!$B$2:$E$37,MATCH($AE87,'amam-return-or-premium'!$A$2:$A$37,0),IF(LOWER(TRIM($F87))="male",IF(LOWER(TRIM($K87))="yes",2,1),IF(LOWER(TRIM($K87))="yes",4,3))),_xlpm.coverage,VALUE(SUBSTITUTE(SUBSTITUTE($S87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7" s="80">
        <f t="array" ref="AS87">IFERROR(_xlfn.LET(_xlpm.rate,INDEX(AHL!$B$2:$E$37,MATCH($AE87,AHL!$A$2:$A$37,0),IF(LOWER(TRIM($F87))="male",IF(LOWER(TRIM($K87))="yes",2,1),IF(LOWER(TRIM($K87))="yes",4,3))),_xlpm.coverage,VALUE(SUBSTITUTE(SUBSTITUTE($S87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7" s="80">
        <f t="array" ref="AT87">IFERROR(_xlfn.LET(_xlpm.rate,INDEX('AHL-Graded'!$B$2:$E$32,MATCH($AE87,'AHL-Graded'!$A$2:$A$32,0),IF(LOWER(TRIM($F87))="male",IF(LOWER(TRIM($K87))="yes",2,1),IF(LOWER(TRIM($K87))="yes",4,3))),_xlpm.coverage,VALUE(SUBSTITUTE(SUBSTITUTE($S87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7" s="80">
        <f t="array" ref="AU87">IFERROR(_xlfn.LET(_xlpm.rate,INDEX('Royal Neighbors'!$B$2:$E$37,MATCH($AE87,'Royal Neighbors'!$A$2:$A$37,0),IF(LOWER(TRIM($F87))="male",IF(LOWER(TRIM($K87))="yes",2,1),IF(LOWER(TRIM($K87))="yes",4,3))),_xlpm.coverage,VALUE(SUBSTITUTE(SUBSTITUTE($S87,"$",""),",","")),_xlpm.base,_xlpm.rate*(_xlpm.coverage/1000),_xlpm.fee,_xlfn.XLOOKUP("Royal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7" s="80">
        <f t="array" ref="AV87">IFERROR(_xlfn.LET(_xlpm.rate,INDEX('Royal Neighbors-Graded'!$B$2:$E$37,MATCH($AE87,'Royal Neighbors-Graded'!$A$2:$A$37,0),IF(LOWER(TRIM($F87))="male",IF(LOWER(TRIM($K87))="yes",2,1),IF(LOWER(TRIM($K87))="yes",4,3))),_xlpm.coverage,VALUE(SUBSTITUTE(SUBSTITUTE($S87,"$",""),",","")),_xlpm.base,_xlpm.rate*(_xlpm.coverage/1000),_xlpm.fee,_xlfn.XLOOKUP("Royal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7" s="80">
        <f t="array" ref="AW87">IFERROR(_xlfn.LET(_xlpm.rate,INDEX('Gerber-GI'!$B$2:$C$32,MATCH($AE87,'Gerber-GI'!$A$2:$A$32,0),IF(LOWER(TRIM($F87))="male",1,2)),_xlpm.coverage,VALUE(SUBSTITUTE(SUBSTITUTE($S87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7" s="80">
        <f t="array" ref="AX87">IFERROR(_xlfn.LET(_xlpm.rate,INDEX('Mutual of Omaha'!$B$2:$E$42,MATCH($AE87,'Mutual of Omaha'!$A$2:$A$42,0),IF(LOWER(TRIM($F87))="male",IF(LOWER(TRIM($K87))="yes",2,1),IF(LOWER(TRIM($K87))="yes",4,3))),_xlpm.coverage,VALUE(SUBSTITUTE(SUBSTITUTE($S87,"$",""),",","")),_xlpm.base,_xlpm.rate*(_xlpm.coverage/1000),_xlpm.fee,_xlfn.XLOOKUP("Mutal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7" s="80">
        <f t="array" ref="AY87">IFERROR(_xlfn.LET(_xlpm.rate,INDEX('Mutual of Omaha-Graded'!$B$2:$E$37,MATCH($AE87,'Mutual of Omaha-Graded'!$A$2:$A$37,0),IF(LOWER(TRIM($F87))="male",IF(LOWER(TRIM($K87))="yes",2,1),IF(LOWER(TRIM($K87))="yes",4,3))),_xlpm.coverage,VALUE(SUBSTITUTE(SUBSTITUTE($S87,"$",""),",","")),_xlpm.base,_xlpm.rate*(_xlpm.coverage/1000),_xlpm.fee,_xlfn.XLOOKUP("Mutual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7" s="80">
        <f>AP87</f>
        <v/>
      </c>
      <c r="BA87" s="80">
        <f>IFERROR(IF(AND(AP87&gt;0,AP87&lt;VALUE(SUBSTITUTE(SUBSTITUTE($T87,"$",""),",",""))),VALUE(SUBSTITUTE(SUBSTITUTE($T87,"$",""),",",""))-AP87,""),"")</f>
        <v/>
      </c>
      <c r="BB87" s="80">
        <f>AL87</f>
        <v/>
      </c>
      <c r="BC87" s="80">
        <f>IFERROR(IF(AND(AL87&gt;0,AL87&lt;VALUE(SUBSTITUTE(SUBSTITUTE($T87,"$",""),",",""))),VALUE(SUBSTITUTE(SUBSTITUTE($T87,"$",""),",",""))-AL87,""),"")</f>
        <v/>
      </c>
      <c r="BD87">
        <f t="array" ref="BD87">IFERROR(_xlfn.LET(_xlpm.current,VALUE(SUBSTITUTE(SUBSTITUTE($T87,"$",""),",","")),_xlpm.quotes,AF87:AY87,_xlpm.lowest,_xlfn.MINIFS(_xlpm.quotes,_xlpm.quotes,"&lt;"&amp;_xlpm.current,_xlpm.quotes,"&gt;0"),IF(_xlpm.lowest="","",SUBSTITUTE(INDEX($AF$1:$AY$1,1,MATCH(_xlpm.lowest,_xlpm.quotes,0))," Monthly Quote",""))),"")</f>
        <v/>
      </c>
      <c r="BE87" s="80">
        <f t="array" ref="BE87">IFERROR(_xlfn.LET(_xlpm.current,VALUE(SUBSTITUTE(SUBSTITUTE($T87,"$",""),",","")),_xlpm.quotes,AF87:AY87,_xlpm.lowest,_xlfn.MINIFS(_xlpm.quotes,_xlpm.quotes,"&lt;"&amp;_xlpm.current,_xlpm.quotes,"&gt;0"),IF(_xlpm.lowest="","",_xlpm.current-_xlpm.lowest)),"")</f>
        <v/>
      </c>
    </row>
    <row r="88">
      <c r="A88" s="67" t="inlineStr">
        <is>
          <t>Lucy R</t>
        </is>
      </c>
      <c r="B88" s="67" t="inlineStr">
        <is>
          <t>Medlicott</t>
        </is>
      </c>
      <c r="C88" s="68" t="n">
        <v>7084847661</v>
      </c>
      <c r="D88" s="68" t="n">
        <v>84</v>
      </c>
      <c r="E88" s="69" t="n">
        <v>15005</v>
      </c>
      <c r="F88" s="67" t="inlineStr">
        <is>
          <t>Female</t>
        </is>
      </c>
      <c r="G88" s="67" t="inlineStr">
        <is>
          <t>3921 Grove Ave, Stickney, IL 60402</t>
        </is>
      </c>
      <c r="H88" s="67" t="inlineStr">
        <is>
          <t>Il</t>
        </is>
      </c>
      <c r="I88" s="68" t="n">
        <v>5.5</v>
      </c>
      <c r="J88" s="68" t="n">
        <v>148</v>
      </c>
      <c r="K88" s="67" t="inlineStr">
        <is>
          <t>No</t>
        </is>
      </c>
      <c r="L88" s="67" t="n"/>
      <c r="M88" s="67" t="inlineStr">
        <is>
          <t>Cremation</t>
        </is>
      </c>
      <c r="N88" s="67" t="inlineStr">
        <is>
          <t>Marina Medlicott - 40</t>
        </is>
      </c>
      <c r="O88" s="67" t="inlineStr">
        <is>
          <t>kids</t>
        </is>
      </c>
      <c r="P88" s="67" t="inlineStr">
        <is>
          <t>Jim Medlicott - 42</t>
        </is>
      </c>
      <c r="Q88" s="67" t="inlineStr">
        <is>
          <t>kids</t>
        </is>
      </c>
      <c r="R88" s="67" t="inlineStr">
        <is>
          <t>Aetna</t>
        </is>
      </c>
      <c r="S88" s="70" t="n">
        <v>3000</v>
      </c>
      <c r="T88" s="71" t="n">
        <v>39.78</v>
      </c>
      <c r="U88" s="69" t="n">
        <v>46001</v>
      </c>
      <c r="V88" s="69" t="n">
        <v>46032</v>
      </c>
      <c r="W88" s="68" t="n">
        <v>329348650</v>
      </c>
      <c r="X88" s="67" t="inlineStr">
        <is>
          <t>no</t>
        </is>
      </c>
      <c r="Y88" s="67" t="inlineStr">
        <is>
          <t>Old National bank</t>
        </is>
      </c>
      <c r="Z88" s="68" t="n">
        <v>86300012</v>
      </c>
      <c r="AA88" s="68" t="n">
        <v>100668300</v>
      </c>
      <c r="AB88" s="67" t="inlineStr">
        <is>
          <t>HBP</t>
        </is>
      </c>
      <c r="AC88" s="67" t="inlineStr">
        <is>
          <t>1 Pill</t>
        </is>
      </c>
      <c r="AD88" s="67" t="inlineStr">
        <is>
          <t>no</t>
        </is>
      </c>
      <c r="AE88" s="68" t="n">
        <v>85</v>
      </c>
      <c r="AF88" s="80">
        <f t="array" ref="AF88">IFERROR(_xlfn.LET(_xlpm.rate,INDEX(aflac!$B$2:$E$37,MATCH($AE88,aflac!$A$2:$A$37,0),IF(LOWER(TRIM($F88))="male",IF(LOWER(TRIM($K88))="yes",2,1),IF(LOWER(TRIM($K88))="yes",4,3))),_xlpm.coverage,VALUE(SUBSTITUTE(SUBSTITUTE($S88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8" s="80">
        <f t="array" ref="AG88">IFERROR(_xlfn.LET(_xlpm.rate,INDEX('aflac-modified'!$B$2:$C$32,MATCH($AE88,'aflac-modified'!$A$2:$A$32,0),IF(LOWER(TRIM($F88))="male",1,2)),_xlpm.coverage,VALUE(SUBSTITUTE(SUBSTITUTE($S88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8" s="80">
        <f t="array" ref="AH88">IFERROR(_xlfn.LET(_xlpm.rate,INDEX(SBLI!$B$2:$E$37,MATCH($AE88,SBLI!$A$2:$A$37,0),IF(LOWER(TRIM($F88))="male",IF(LOWER(TRIM($K88))="yes",2,1),IF(LOWER(TRIM($K88))="yes",4,3))),_xlpm.coverage,VALUE(SUBSTITUTE(SUBSTITUTE($S88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8" s="80">
        <f t="array" ref="AI88">IFERROR(_xlfn.LET(_xlpm.rate,INDEX('SBLI-Modified'!$B$2:$E$27,MATCH($AE88,'SBLI-Modified'!$A$2:$A$27,0),IF(LOWER(TRIM($F88))="male",IF(LOWER(TRIM($K88))="yes",2,1),IF(LOWER(TRIM($K88))="yes",4,3))),_xlpm.coverage,VALUE(SUBSTITUTE(SUBSTITUTE($S88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8" s="80">
        <f t="array" ref="AJ88">IFERROR(_xlfn.LET(_xlpm.rate,INDEX(CICA!$B$2:$C$42,MATCH($AE88,CICA!$A$2:$A$42,0),IF(LOWER(TRIM($F88))="male",1,2)),_xlpm.coverage,VALUE(SUBSTITUTE(SUBSTITUTE($S88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8" s="80">
        <f t="array" ref="AK88">IFERROR(_xlfn.LET(_xlpm.rate,INDEX('CICA-GI'!$B$2:$C$47,MATCH($AE88,'CICA-GI'!$A$2:$A$47,0),IF(LOWER(TRIM($F88))="male",1,2)),_xlpm.coverage,VALUE(SUBSTITUTE(SUBSTITUTE($S88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8" s="80">
        <f t="array" ref="AL88">IFERROR(_xlfn.LET(_xlpm.rate,INDEX(gtl!$B$2:$C$52,MATCH($AE88,gtl!$A$2:$A$52,0),IF(LOWER(TRIM($F88))="male",1,2)),_xlpm.coverage,VALUE(SUBSTITUTE(SUBSTITUTE($S88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8" s="80">
        <f t="array" ref="AM88">IFERROR(_xlfn.LET(_xlpm.rate,INDEX(TransAmerica!$B$2:$E$69,MATCH($AE88,TransAmerica!$A$2:$A$69,0),IF(LOWER(TRIM($F88))="male",IF(LOWER(TRIM($K88))="yes",2,1),IF(LOWER(TRIM($K88))="yes",4,3))),_xlpm.coverage,VALUE(SUBSTITUTE(SUBSTITUTE($S88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8" s="80">
        <f t="array" ref="AN88">IFERROR(_xlfn.LET(_xlpm.rate,INDEX('TransAmerica Graded'!$B$2:$E$64,MATCH($AE88,'TransAmerica Graded'!$A$2:$A$64,0),IF(LOWER(TRIM($F88))="male",IF(LOWER(TRIM($K88))="yes",2,1),IF(LOWER(TRIM($K88))="yes",4,3))),_xlpm.coverage,VALUE(SUBSTITUTE(SUBSTITUTE($S88,"$",""),",","")),_xlpm.base,_xlpm.rate*(_xlpm.coverage/1000),_xlpm.fee,_xlfn.XLOOKUP("TransAmerica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8" s="80">
        <f t="array" ref="AO88">IFERROR(_xlfn.LET(_xlpm.rate,INDEX(Corebridge!$B$2:$C$32,MATCH($AE88,Corebridge!$A$2:$A$32,0),IF(LOWER(TRIM($F88))="male",1,2)),_xlpm.coverage,VALUE(SUBSTITUTE(SUBSTITUTE($S88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8" s="80">
        <f t="array" ref="AP88">IFERROR(_xlfn.LET(_xlpm.rate,INDEX(amam!$B$2:$E$37,MATCH($AE88,amam!$A$2:$A$37,0),IF(LOWER(TRIM($F88))="male",IF(LOWER(TRIM($K88))="yes",2,1),IF(LOWER(TRIM($K88))="yes",4,3))),_xlpm.coverage,VALUE(SUBSTITUTE(SUBSTITUTE($S88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8" s="80">
        <f t="array" ref="AQ88">IFERROR(_xlfn.LET(_xlpm.rate,INDEX('amam-graded'!$B$2:$E$37,MATCH($AE88,'amam-graded'!$A$2:$A$37,0),IF(LOWER(TRIM($F88))="male",IF(LOWER(TRIM($K88))="yes",2,1),IF(LOWER(TRIM($K88))="yes",4,3))),_xlpm.coverage,VALUE(SUBSTITUTE(SUBSTITUTE($S88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8" s="80">
        <f t="array" ref="AR88">IFERROR(_xlfn.LET(_xlpm.rate,INDEX('amam-return-or-premium'!$B$2:$E$37,MATCH($AE88,'amam-return-or-premium'!$A$2:$A$37,0),IF(LOWER(TRIM($F88))="male",IF(LOWER(TRIM($K88))="yes",2,1),IF(LOWER(TRIM($K88))="yes",4,3))),_xlpm.coverage,VALUE(SUBSTITUTE(SUBSTITUTE($S88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8" s="80">
        <f t="array" ref="AS88">IFERROR(_xlfn.LET(_xlpm.rate,INDEX(AHL!$B$2:$E$37,MATCH($AE88,AHL!$A$2:$A$37,0),IF(LOWER(TRIM($F88))="male",IF(LOWER(TRIM($K88))="yes",2,1),IF(LOWER(TRIM($K88))="yes",4,3))),_xlpm.coverage,VALUE(SUBSTITUTE(SUBSTITUTE($S88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8" s="80">
        <f t="array" ref="AT88">IFERROR(_xlfn.LET(_xlpm.rate,INDEX('AHL-Graded'!$B$2:$E$32,MATCH($AE88,'AHL-Graded'!$A$2:$A$32,0),IF(LOWER(TRIM($F88))="male",IF(LOWER(TRIM($K88))="yes",2,1),IF(LOWER(TRIM($K88))="yes",4,3))),_xlpm.coverage,VALUE(SUBSTITUTE(SUBSTITUTE($S88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8" s="80">
        <f t="array" ref="AU88">IFERROR(_xlfn.LET(_xlpm.rate,INDEX('Royal Neighbors'!$B$2:$E$37,MATCH($AE88,'Royal Neighbors'!$A$2:$A$37,0),IF(LOWER(TRIM($F88))="male",IF(LOWER(TRIM($K88))="yes",2,1),IF(LOWER(TRIM($K88))="yes",4,3))),_xlpm.coverage,VALUE(SUBSTITUTE(SUBSTITUTE($S88,"$",""),",","")),_xlpm.base,_xlpm.rate*(_xlpm.coverage/1000),_xlpm.fee,_xlfn.XLOOKUP("Royal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8" s="80">
        <f t="array" ref="AV88">IFERROR(_xlfn.LET(_xlpm.rate,INDEX('Royal Neighbors-Graded'!$B$2:$E$37,MATCH($AE88,'Royal Neighbors-Graded'!$A$2:$A$37,0),IF(LOWER(TRIM($F88))="male",IF(LOWER(TRIM($K88))="yes",2,1),IF(LOWER(TRIM($K88))="yes",4,3))),_xlpm.coverage,VALUE(SUBSTITUTE(SUBSTITUTE($S88,"$",""),",","")),_xlpm.base,_xlpm.rate*(_xlpm.coverage/1000),_xlpm.fee,_xlfn.XLOOKUP("Royal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8" s="80">
        <f t="array" ref="AW88">IFERROR(_xlfn.LET(_xlpm.rate,INDEX('Gerber-GI'!$B$2:$C$32,MATCH($AE88,'Gerber-GI'!$A$2:$A$32,0),IF(LOWER(TRIM($F88))="male",1,2)),_xlpm.coverage,VALUE(SUBSTITUTE(SUBSTITUTE($S88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8" s="80">
        <f t="array" ref="AX88">IFERROR(_xlfn.LET(_xlpm.rate,INDEX('Mutual of Omaha'!$B$2:$E$42,MATCH($AE88,'Mutual of Omaha'!$A$2:$A$42,0),IF(LOWER(TRIM($F88))="male",IF(LOWER(TRIM($K88))="yes",2,1),IF(LOWER(TRIM($K88))="yes",4,3))),_xlpm.coverage,VALUE(SUBSTITUTE(SUBSTITUTE($S88,"$",""),",","")),_xlpm.base,_xlpm.rate*(_xlpm.coverage/1000),_xlpm.fee,_xlfn.XLOOKUP("Mutal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8" s="80">
        <f t="array" ref="AY88">IFERROR(_xlfn.LET(_xlpm.rate,INDEX('Mutual of Omaha-Graded'!$B$2:$E$37,MATCH($AE88,'Mutual of Omaha-Graded'!$A$2:$A$37,0),IF(LOWER(TRIM($F88))="male",IF(LOWER(TRIM($K88))="yes",2,1),IF(LOWER(TRIM($K88))="yes",4,3))),_xlpm.coverage,VALUE(SUBSTITUTE(SUBSTITUTE($S88,"$",""),",","")),_xlpm.base,_xlpm.rate*(_xlpm.coverage/1000),_xlpm.fee,_xlfn.XLOOKUP("Mutual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8" s="80">
        <f>AP88</f>
        <v/>
      </c>
      <c r="BA88" s="80">
        <f>IFERROR(IF(AND(AP88&gt;0,AP88&lt;VALUE(SUBSTITUTE(SUBSTITUTE($T88,"$",""),",",""))),VALUE(SUBSTITUTE(SUBSTITUTE($T88,"$",""),",",""))-AP88,""),"")</f>
        <v/>
      </c>
      <c r="BB88" s="80">
        <f>AL88</f>
        <v/>
      </c>
      <c r="BC88" s="80">
        <f>IFERROR(IF(AND(AL88&gt;0,AL88&lt;VALUE(SUBSTITUTE(SUBSTITUTE($T88,"$",""),",",""))),VALUE(SUBSTITUTE(SUBSTITUTE($T88,"$",""),",",""))-AL88,""),"")</f>
        <v/>
      </c>
      <c r="BD88">
        <f t="array" ref="BD88">IFERROR(_xlfn.LET(_xlpm.current,VALUE(SUBSTITUTE(SUBSTITUTE($T88,"$",""),",","")),_xlpm.quotes,AF88:AY88,_xlpm.lowest,_xlfn.MINIFS(_xlpm.quotes,_xlpm.quotes,"&lt;"&amp;_xlpm.current,_xlpm.quotes,"&gt;0"),IF(_xlpm.lowest="","",SUBSTITUTE(INDEX($AF$1:$AY$1,1,MATCH(_xlpm.lowest,_xlpm.quotes,0))," Monthly Quote",""))),"")</f>
        <v/>
      </c>
      <c r="BE88" s="80">
        <f t="array" ref="BE88">IFERROR(_xlfn.LET(_xlpm.current,VALUE(SUBSTITUTE(SUBSTITUTE($T88,"$",""),",","")),_xlpm.quotes,AF88:AY88,_xlpm.lowest,_xlfn.MINIFS(_xlpm.quotes,_xlpm.quotes,"&lt;"&amp;_xlpm.current,_xlpm.quotes,"&gt;0"),IF(_xlpm.lowest="","",_xlpm.current-_xlpm.lowest)),"")</f>
        <v/>
      </c>
    </row>
    <row r="89">
      <c r="A89" s="67" t="inlineStr">
        <is>
          <t>Iba J</t>
        </is>
      </c>
      <c r="B89" s="67" t="inlineStr">
        <is>
          <t>Conley</t>
        </is>
      </c>
      <c r="C89" s="68" t="n">
        <v>9314849417</v>
      </c>
      <c r="D89" s="68" t="n">
        <v>83</v>
      </c>
      <c r="E89" s="69" t="n">
        <v>15455</v>
      </c>
      <c r="F89" s="67" t="inlineStr">
        <is>
          <t>Female</t>
        </is>
      </c>
      <c r="G89" s="67" t="inlineStr">
        <is>
          <t>2252 Ryan Rd Crossville, TN 38571</t>
        </is>
      </c>
      <c r="H89" s="67" t="inlineStr">
        <is>
          <t>TN</t>
        </is>
      </c>
      <c r="I89" s="73" t="n">
        <v>46143</v>
      </c>
      <c r="J89" s="68" t="n">
        <v>145</v>
      </c>
      <c r="K89" s="67" t="inlineStr">
        <is>
          <t>No</t>
        </is>
      </c>
      <c r="L89" s="67" t="n"/>
      <c r="M89" s="67" t="inlineStr">
        <is>
          <t>Cremation</t>
        </is>
      </c>
      <c r="N89" s="67" t="inlineStr">
        <is>
          <t>(Pamela Bible - 10 5 1961)</t>
        </is>
      </c>
      <c r="O89" s="67" t="inlineStr">
        <is>
          <t>Daughter</t>
        </is>
      </c>
      <c r="P89" s="67" t="n"/>
      <c r="Q89" s="67" t="n"/>
      <c r="R89" s="67" t="inlineStr">
        <is>
          <t>Aetna</t>
        </is>
      </c>
      <c r="S89" s="70" t="n">
        <v>3000</v>
      </c>
      <c r="T89" s="71" t="n">
        <v>37.73</v>
      </c>
      <c r="U89" s="69" t="n">
        <v>45992</v>
      </c>
      <c r="V89" s="69" t="n">
        <v>46023</v>
      </c>
      <c r="W89" s="68" t="n">
        <v>411705302</v>
      </c>
      <c r="X89" s="67" t="inlineStr">
        <is>
          <t>no</t>
        </is>
      </c>
      <c r="Y89" s="67" t="inlineStr">
        <is>
          <t>First National Bank</t>
        </is>
      </c>
      <c r="Z89" s="68" t="n">
        <v>64107994</v>
      </c>
      <c r="AA89" s="68" t="n">
        <v>5487293</v>
      </c>
      <c r="AB89" s="67" t="inlineStr">
        <is>
          <t>HBP</t>
        </is>
      </c>
      <c r="AC89" s="67" t="inlineStr">
        <is>
          <t>Licinopril</t>
        </is>
      </c>
      <c r="AD89" s="67" t="inlineStr">
        <is>
          <t>no</t>
        </is>
      </c>
      <c r="AE89" s="68" t="n">
        <v>84</v>
      </c>
      <c r="AF89" s="80">
        <f t="array" ref="AF89">IFERROR(_xlfn.LET(_xlpm.rate,INDEX(aflac!$B$2:$E$37,MATCH($AE89,aflac!$A$2:$A$37,0),IF(LOWER(TRIM($F89))="male",IF(LOWER(TRIM($K89))="yes",2,1),IF(LOWER(TRIM($K89))="yes",4,3))),_xlpm.coverage,VALUE(SUBSTITUTE(SUBSTITUTE($S89,"$",""),",","")),_xlpm.base,_xlpm.rate*(_xlpm.coverage/1000),_xlpm.fee,_xlfn.XLOOKUP("aflac",Key!$B$1:$U$1,Key!$B$2:$U$2,0),_xlpm.mf,_xlfn.XLOOKUP("aflac",Key!$B$1:$U$1,Key!$B$3:$U$3,0),IF(_xlpm.mf&gt;0,(_xlpm.base+_xlpm.fee)*_xlpm.mf,(_xlpm.base+_xlpm.fee)/12)),"")</f>
        <v/>
      </c>
      <c r="AG89" s="80">
        <f t="array" ref="AG89">IFERROR(_xlfn.LET(_xlpm.rate,INDEX('aflac-modified'!$B$2:$C$32,MATCH($AE89,'aflac-modified'!$A$2:$A$32,0),IF(LOWER(TRIM($F89))="male",1,2)),_xlpm.coverage,VALUE(SUBSTITUTE(SUBSTITUTE($S89,"$",""),",","")),_xlpm.base,_xlpm.rate*(_xlpm.coverage/1000),_xlpm.fee,_xlfn.XLOOKUP("aflac-modified",Key!$B$1:$U$1,Key!$B$2:$U$2,0),_xlpm.mf,_xlfn.XLOOKUP("aflac-modified",Key!$B$1:$U$1,Key!$B$3:$U$3,0),IF(_xlpm.mf&gt;0,(_xlpm.base+_xlpm.fee)*_xlpm.mf,(_xlpm.base+_xlpm.fee)/12)),"")</f>
        <v/>
      </c>
      <c r="AH89" s="80">
        <f t="array" ref="AH89">IFERROR(_xlfn.LET(_xlpm.rate,INDEX(SBLI!$B$2:$E$37,MATCH($AE89,SBLI!$A$2:$A$37,0),IF(LOWER(TRIM($F89))="male",IF(LOWER(TRIM($K89))="yes",2,1),IF(LOWER(TRIM($K89))="yes",4,3))),_xlpm.coverage,VALUE(SUBSTITUTE(SUBSTITUTE($S89,"$",""),",","")),_xlpm.base,_xlpm.rate*(_xlpm.coverage/1000),_xlpm.fee,_xlfn.XLOOKUP("SBLI",Key!$B$1:$U$1,Key!$B$2:$U$2,0),_xlpm.mf,_xlfn.XLOOKUP("SBLI",Key!$B$1:$U$1,Key!$B$3:$U$3,0),IF(_xlpm.mf&gt;0,(_xlpm.base+_xlpm.fee)*_xlpm.mf,(_xlpm.base+_xlpm.fee)/12)),"")</f>
        <v/>
      </c>
      <c r="AI89" s="80">
        <f t="array" ref="AI89">IFERROR(_xlfn.LET(_xlpm.rate,INDEX('SBLI-Modified'!$B$2:$E$27,MATCH($AE89,'SBLI-Modified'!$A$2:$A$27,0),IF(LOWER(TRIM($F89))="male",IF(LOWER(TRIM($K89))="yes",2,1),IF(LOWER(TRIM($K89))="yes",4,3))),_xlpm.coverage,VALUE(SUBSTITUTE(SUBSTITUTE($S89,"$",""),",","")),_xlpm.base,_xlpm.rate*(_xlpm.coverage/1000),_xlpm.fee,_xlfn.XLOOKUP("SBLI-Modified",Key!$B$1:$U$1,Key!$B$2:$U$2,0),_xlpm.mf,_xlfn.XLOOKUP("SBLI-Modified",Key!$B$1:$U$1,Key!$B$3:$U$3,0),IF(_xlpm.mf&gt;0,(_xlpm.base+_xlpm.fee)*_xlpm.mf,(_xlpm.base+_xlpm.fee)/12)),"")</f>
        <v/>
      </c>
      <c r="AJ89" s="80">
        <f t="array" ref="AJ89">IFERROR(_xlfn.LET(_xlpm.rate,INDEX(CICA!$B$2:$C$42,MATCH($AE89,CICA!$A$2:$A$42,0),IF(LOWER(TRIM($F89))="male",1,2)),_xlpm.coverage,VALUE(SUBSTITUTE(SUBSTITUTE($S89,"$",""),",","")),_xlpm.base,_xlpm.rate*(_xlpm.coverage/1000),_xlpm.fee,_xlfn.XLOOKUP("CICA",Key!$B$1:$U$1,Key!$B$2:$U$2,0),_xlpm.mf,_xlfn.XLOOKUP("CICA",Key!$B$1:$U$1,Key!$B$3:$U$3,0),IF(_xlpm.mf&gt;0,(_xlpm.base+_xlpm.fee)*_xlpm.mf,(_xlpm.base+_xlpm.fee)/12)),"")</f>
        <v/>
      </c>
      <c r="AK89" s="80">
        <f t="array" ref="AK89">IFERROR(_xlfn.LET(_xlpm.rate,INDEX('CICA-GI'!$B$2:$C$47,MATCH($AE89,'CICA-GI'!$A$2:$A$47,0),IF(LOWER(TRIM($F89))="male",1,2)),_xlpm.coverage,VALUE(SUBSTITUTE(SUBSTITUTE($S89,"$",""),",","")),_xlpm.base,_xlpm.rate*(_xlpm.coverage/1000),_xlpm.fee,_xlfn.XLOOKUP("CICA-GI",Key!$B$1:$U$1,Key!$B$2:$U$2,0),_xlpm.mf,_xlfn.XLOOKUP("CICA-GI",Key!$B$1:$U$1,Key!$B$3:$U$3,0),IF(_xlpm.mf&gt;0,(_xlpm.base+_xlpm.fee)*_xlpm.mf,(_xlpm.base+_xlpm.fee)/12)),"")</f>
        <v/>
      </c>
      <c r="AL89" s="80">
        <f t="array" ref="AL89">IFERROR(_xlfn.LET(_xlpm.rate,INDEX(gtl!$B$2:$C$52,MATCH($AE89,gtl!$A$2:$A$52,0),IF(LOWER(TRIM($F89))="male",1,2)),_xlpm.coverage,VALUE(SUBSTITUTE(SUBSTITUTE($S89,"$",""),",","")),_xlpm.base,_xlpm.rate*(_xlpm.coverage/1000),_xlpm.fee,_xlfn.XLOOKUP("gtl",Key!$B$1:$U$1,Key!$B$2:$U$2,0),_xlpm.mf,_xlfn.XLOOKUP("gtl",Key!$B$1:$U$1,Key!$B$3:$U$3,0),IF(_xlpm.mf&gt;0,(_xlpm.base+_xlpm.fee)*_xlpm.mf,(_xlpm.base+_xlpm.fee)/12)),"")</f>
        <v/>
      </c>
      <c r="AM89" s="80">
        <f t="array" ref="AM89">IFERROR(_xlfn.LET(_xlpm.rate,INDEX(TransAmerica!$B$2:$E$69,MATCH($AE89,TransAmerica!$A$2:$A$69,0),IF(LOWER(TRIM($F89))="male",IF(LOWER(TRIM($K89))="yes",2,1),IF(LOWER(TRIM($K89))="yes",4,3))),_xlpm.coverage,VALUE(SUBSTITUTE(SUBSTITUTE($S89,"$",""),",","")),_xlpm.base,_xlpm.rate*(_xlpm.coverage/1000),_xlpm.fee,_xlfn.XLOOKUP("TransAmerica",Key!$B$1:$U$1,Key!$B$2:$U$2,0),_xlpm.mf,_xlfn.XLOOKUP("TransAmerica",Key!$B$1:$U$1,Key!$B$3:$U$3,0),IF(_xlpm.mf&gt;0,(_xlpm.base+_xlpm.fee)*_xlpm.mf,(_xlpm.base+_xlpm.fee)/12)),"")</f>
        <v/>
      </c>
      <c r="AN89" s="80">
        <f t="array" ref="AN89">IFERROR(_xlfn.LET(_xlpm.rate,INDEX('TransAmerica Graded'!$B$2:$E$64,MATCH($AE89,'TransAmerica Graded'!$A$2:$A$64,0),IF(LOWER(TRIM($F89))="male",IF(LOWER(TRIM($K89))="yes",2,1),IF(LOWER(TRIM($K89))="yes",4,3))),_xlpm.coverage,VALUE(SUBSTITUTE(SUBSTITUTE($S89,"$",""),",","")),_xlpm.base,_xlpm.rate*(_xlpm.coverage/1000),_xlpm.fee,_xlfn.XLOOKUP("TransAmerica Graded",Key!$B$1:$U$1,Key!$B$2:$U$2,0),_xlpm.mf,_xlfn.XLOOKUP("TransAmerica Graded",Key!$B$1:$U$1,Key!$B$3:$U$3,0),IF(_xlpm.mf&gt;0,(_xlpm.base+_xlpm.fee)*_xlpm.mf,(_xlpm.base+_xlpm.fee)/12)),"")</f>
        <v/>
      </c>
      <c r="AO89" s="80">
        <f t="array" ref="AO89">IFERROR(_xlfn.LET(_xlpm.rate,INDEX(Corebridge!$B$2:$C$32,MATCH($AE89,Corebridge!$A$2:$A$32,0),IF(LOWER(TRIM($F89))="male",1,2)),_xlpm.coverage,VALUE(SUBSTITUTE(SUBSTITUTE($S89,"$",""),",","")),_xlpm.base,_xlpm.rate*(_xlpm.coverage/1000),_xlpm.fee,_xlfn.XLOOKUP("Corebridge",Key!$B$1:$U$1,Key!$B$2:$U$2,0),_xlpm.mf,_xlfn.XLOOKUP("Corebridge",Key!$B$1:$U$1,Key!$B$3:$U$3,0),IF(_xlpm.mf&gt;0,(_xlpm.base+_xlpm.fee)*_xlpm.mf,(_xlpm.base+_xlpm.fee)/12)),"")</f>
        <v/>
      </c>
      <c r="AP89" s="80">
        <f t="array" ref="AP89">IFERROR(_xlfn.LET(_xlpm.rate,INDEX(amam!$B$2:$E$37,MATCH($AE89,amam!$A$2:$A$37,0),IF(LOWER(TRIM($F89))="male",IF(LOWER(TRIM($K89))="yes",2,1),IF(LOWER(TRIM($K89))="yes",4,3))),_xlpm.coverage,VALUE(SUBSTITUTE(SUBSTITUTE($S89,"$",""),",","")),_xlpm.base,_xlpm.rate*(_xlpm.coverage/1000),_xlpm.fee,_xlfn.XLOOKUP("amam",Key!$B$1:$U$1,Key!$B$2:$U$2,0),_xlpm.mf,_xlfn.XLOOKUP("amam",Key!$B$1:$U$1,Key!$B$3:$U$3,0),IF(_xlpm.mf&gt;0,(_xlpm.base+_xlpm.fee)*_xlpm.mf,(_xlpm.base+_xlpm.fee)/12)),"")</f>
        <v/>
      </c>
      <c r="AQ89" s="80">
        <f t="array" ref="AQ89">IFERROR(_xlfn.LET(_xlpm.rate,INDEX('amam-graded'!$B$2:$E$37,MATCH($AE89,'amam-graded'!$A$2:$A$37,0),IF(LOWER(TRIM($F89))="male",IF(LOWER(TRIM($K89))="yes",2,1),IF(LOWER(TRIM($K89))="yes",4,3))),_xlpm.coverage,VALUE(SUBSTITUTE(SUBSTITUTE($S89,"$",""),",","")),_xlpm.base,_xlpm.rate*(_xlpm.coverage/1000),_xlpm.fee,_xlfn.XLOOKUP("amam-graded",Key!$B$1:$U$1,Key!$B$2:$U$2,0),_xlpm.mf,_xlfn.XLOOKUP("amam-graded",Key!$B$1:$U$1,Key!$B$3:$U$3,0),IF(_xlpm.mf&gt;0,(_xlpm.base+_xlpm.fee)*_xlpm.mf,(_xlpm.base+_xlpm.fee)/12)),"")</f>
        <v/>
      </c>
      <c r="AR89" s="80">
        <f t="array" ref="AR89">IFERROR(_xlfn.LET(_xlpm.rate,INDEX('amam-return-or-premium'!$B$2:$E$37,MATCH($AE89,'amam-return-or-premium'!$A$2:$A$37,0),IF(LOWER(TRIM($F89))="male",IF(LOWER(TRIM($K89))="yes",2,1),IF(LOWER(TRIM($K89))="yes",4,3))),_xlpm.coverage,VALUE(SUBSTITUTE(SUBSTITUTE($S89,"$",""),",","")),_xlpm.base,_xlpm.rate*(_xlpm.coverage/1000),_xlpm.fee,_xlfn.XLOOKUP("amam-return-or-premium",Key!$B$1:$U$1,Key!$B$2:$U$2,0),_xlpm.mf,_xlfn.XLOOKUP("amam-return-or-premium",Key!$B$1:$U$1,Key!$B$3:$U$3,0),IF(_xlpm.mf&gt;0,(_xlpm.base+_xlpm.fee)*_xlpm.mf,(_xlpm.base+_xlpm.fee)/12)),"")</f>
        <v/>
      </c>
      <c r="AS89" s="80">
        <f t="array" ref="AS89">IFERROR(_xlfn.LET(_xlpm.rate,INDEX(AHL!$B$2:$E$37,MATCH($AE89,AHL!$A$2:$A$37,0),IF(LOWER(TRIM($F89))="male",IF(LOWER(TRIM($K89))="yes",2,1),IF(LOWER(TRIM($K89))="yes",4,3))),_xlpm.coverage,VALUE(SUBSTITUTE(SUBSTITUTE($S89,"$",""),",","")),_xlpm.base,_xlpm.rate*(_xlpm.coverage/1000),_xlpm.fee,_xlfn.XLOOKUP("AHL",Key!$B$1:$U$1,Key!$B$2:$U$2,0),_xlpm.mf,_xlfn.XLOOKUP("AHL",Key!$B$1:$U$1,Key!$B$3:$U$3,0),IF(_xlpm.mf&gt;0,(_xlpm.base+_xlpm.fee)*_xlpm.mf,(_xlpm.base+_xlpm.fee)/12)),"")</f>
        <v/>
      </c>
      <c r="AT89" s="80">
        <f t="array" ref="AT89">IFERROR(_xlfn.LET(_xlpm.rate,INDEX('AHL-Graded'!$B$2:$E$32,MATCH($AE89,'AHL-Graded'!$A$2:$A$32,0),IF(LOWER(TRIM($F89))="male",IF(LOWER(TRIM($K89))="yes",2,1),IF(LOWER(TRIM($K89))="yes",4,3))),_xlpm.coverage,VALUE(SUBSTITUTE(SUBSTITUTE($S89,"$",""),",","")),_xlpm.base,_xlpm.rate*(_xlpm.coverage/1000),_xlpm.fee,_xlfn.XLOOKUP("AHL-Graded",Key!$B$1:$U$1,Key!$B$2:$U$2,0),_xlpm.mf,_xlfn.XLOOKUP("AHL-Graded",Key!$B$1:$U$1,Key!$B$3:$U$3,0),IF(_xlpm.mf&gt;0,(_xlpm.base+_xlpm.fee)*_xlpm.mf,(_xlpm.base+_xlpm.fee)/12)),"")</f>
        <v/>
      </c>
      <c r="AU89" s="80">
        <f t="array" ref="AU89">IFERROR(_xlfn.LET(_xlpm.rate,INDEX('Royal Neighbors'!$B$2:$E$37,MATCH($AE89,'Royal Neighbors'!$A$2:$A$37,0),IF(LOWER(TRIM($F89))="male",IF(LOWER(TRIM($K89))="yes",2,1),IF(LOWER(TRIM($K89))="yes",4,3))),_xlpm.coverage,VALUE(SUBSTITUTE(SUBSTITUTE($S89,"$",""),",","")),_xlpm.base,_xlpm.rate*(_xlpm.coverage/1000),_xlpm.fee,_xlfn.XLOOKUP("Royal Neighbors",Key!$B$1:$U$1,Key!$B$2:$U$2,0),_xlpm.mf,_xlfn.XLOOKUP("Royal Neighbors",Key!$B$1:$U$1,Key!$B$3:$U$3,0),IF(_xlpm.mf&gt;0,(_xlpm.base+_xlpm.fee)*_xlpm.mf,(_xlpm.base+_xlpm.fee)/12)),"")</f>
        <v/>
      </c>
      <c r="AV89" s="80">
        <f t="array" ref="AV89">IFERROR(_xlfn.LET(_xlpm.rate,INDEX('Royal Neighbors-Graded'!$B$2:$E$37,MATCH($AE89,'Royal Neighbors-Graded'!$A$2:$A$37,0),IF(LOWER(TRIM($F89))="male",IF(LOWER(TRIM($K89))="yes",2,1),IF(LOWER(TRIM($K89))="yes",4,3))),_xlpm.coverage,VALUE(SUBSTITUTE(SUBSTITUTE($S89,"$",""),",","")),_xlpm.base,_xlpm.rate*(_xlpm.coverage/1000),_xlpm.fee,_xlfn.XLOOKUP("Royal Neighbors-Graded",Key!$B$1:$U$1,Key!$B$2:$U$2,0),_xlpm.mf,_xlfn.XLOOKUP("Royal Neighbors-Graded",Key!$B$1:$U$1,Key!$B$3:$U$3,0),IF(_xlpm.mf&gt;0,(_xlpm.base+_xlpm.fee)*_xlpm.mf,(_xlpm.base+_xlpm.fee)/12)),"")</f>
        <v/>
      </c>
      <c r="AW89" s="80">
        <f t="array" ref="AW89">IFERROR(_xlfn.LET(_xlpm.rate,INDEX('Gerber-GI'!$B$2:$C$32,MATCH($AE89,'Gerber-GI'!$A$2:$A$32,0),IF(LOWER(TRIM($F89))="male",1,2)),_xlpm.coverage,VALUE(SUBSTITUTE(SUBSTITUTE($S89,"$",""),",","")),_xlpm.base,_xlpm.rate*(_xlpm.coverage/1000),_xlpm.fee,_xlfn.XLOOKUP("Gerber-GI",Key!$B$1:$U$1,Key!$B$2:$U$2,0),_xlpm.mf,_xlfn.XLOOKUP("Gerber-GI",Key!$B$1:$U$1,Key!$B$3:$U$3,0),IF(_xlpm.mf&gt;0,(_xlpm.base+_xlpm.fee)*_xlpm.mf,(_xlpm.base+_xlpm.fee)/12)),"")</f>
        <v/>
      </c>
      <c r="AX89" s="80">
        <f t="array" ref="AX89">IFERROR(_xlfn.LET(_xlpm.rate,INDEX('Mutual of Omaha'!$B$2:$E$42,MATCH($AE89,'Mutual of Omaha'!$A$2:$A$42,0),IF(LOWER(TRIM($F89))="male",IF(LOWER(TRIM($K89))="yes",2,1),IF(LOWER(TRIM($K89))="yes",4,3))),_xlpm.coverage,VALUE(SUBSTITUTE(SUBSTITUTE($S89,"$",""),",","")),_xlpm.base,_xlpm.rate*(_xlpm.coverage/1000),_xlpm.fee,_xlfn.XLOOKUP("Mutal of Omaha",Key!$B$1:$U$1,Key!$B$2:$U$2,0),_xlpm.mf,_xlfn.XLOOKUP("Mutal of Omaha",Key!$B$1:$U$1,Key!$B$3:$U$3,0),IF(_xlpm.mf&gt;0,(_xlpm.base+_xlpm.fee)*_xlpm.mf,(_xlpm.base+_xlpm.fee)/12)),"")</f>
        <v/>
      </c>
      <c r="AY89" s="80">
        <f t="array" ref="AY89">IFERROR(_xlfn.LET(_xlpm.rate,INDEX('Mutual of Omaha-Graded'!$B$2:$E$37,MATCH($AE89,'Mutual of Omaha-Graded'!$A$2:$A$37,0),IF(LOWER(TRIM($F89))="male",IF(LOWER(TRIM($K89))="yes",2,1),IF(LOWER(TRIM($K89))="yes",4,3))),_xlpm.coverage,VALUE(SUBSTITUTE(SUBSTITUTE($S89,"$",""),",","")),_xlpm.base,_xlpm.rate*(_xlpm.coverage/1000),_xlpm.fee,_xlfn.XLOOKUP("Mutual of Omaha-Graded",Key!$B$1:$U$1,Key!$B$2:$U$2,0),_xlpm.mf,_xlfn.XLOOKUP("Mutual of Omaha-Graded",Key!$B$1:$U$1,Key!$B$3:$U$3,0),IF(_xlpm.mf&gt;0,(_xlpm.base+_xlpm.fee)*_xlpm.mf,(_xlpm.base+_xlpm.fee)/12)),"")</f>
        <v/>
      </c>
      <c r="AZ89" s="80">
        <f>AP89</f>
        <v/>
      </c>
      <c r="BA89" s="80">
        <f>IFERROR(IF(AND(AP89&gt;0,AP89&lt;VALUE(SUBSTITUTE(SUBSTITUTE($T89,"$",""),",",""))),VALUE(SUBSTITUTE(SUBSTITUTE($T89,"$",""),",",""))-AP89,""),"")</f>
        <v/>
      </c>
      <c r="BB89" s="80">
        <f>AL89</f>
        <v/>
      </c>
      <c r="BC89" s="80">
        <f>IFERROR(IF(AND(AL89&gt;0,AL89&lt;VALUE(SUBSTITUTE(SUBSTITUTE($T89,"$",""),",",""))),VALUE(SUBSTITUTE(SUBSTITUTE($T89,"$",""),",",""))-AL89,""),"")</f>
        <v/>
      </c>
      <c r="BD89">
        <f t="array" ref="BD89">IFERROR(_xlfn.LET(_xlpm.current,VALUE(SUBSTITUTE(SUBSTITUTE($T89,"$",""),",","")),_xlpm.quotes,AF89:AY89,_xlpm.lowest,_xlfn.MINIFS(_xlpm.quotes,_xlpm.quotes,"&lt;"&amp;_xlpm.current,_xlpm.quotes,"&gt;0"),IF(_xlpm.lowest="","",SUBSTITUTE(INDEX($AF$1:$AY$1,1,MATCH(_xlpm.lowest,_xlpm.quotes,0))," Monthly Quote",""))),"")</f>
        <v/>
      </c>
      <c r="BE89" s="80">
        <f t="array" ref="BE89">IFERROR(_xlfn.LET(_xlpm.current,VALUE(SUBSTITUTE(SUBSTITUTE($T89,"$",""),",","")),_xlpm.quotes,AF89:AY89,_xlpm.lowest,_xlfn.MINIFS(_xlpm.quotes,_xlpm.quotes,"&lt;"&amp;_xlpm.current,_xlpm.quotes,"&gt;0"),IF(_xlpm.lowest="","",_xlpm.current-_xlpm.lowest)),"")</f>
        <v/>
      </c>
    </row>
    <row r="90">
      <c r="A90" t="inlineStr">
        <is>
          <t>Test</t>
        </is>
      </c>
      <c r="B90" t="inlineStr">
        <is>
          <t>User</t>
        </is>
      </c>
      <c r="C90" t="inlineStr">
        <is>
          <t>9998887777</t>
        </is>
      </c>
      <c r="D90" t="n">
        <v>76</v>
      </c>
      <c r="E90" t="inlineStr">
        <is>
          <t>1950-01-01</t>
        </is>
      </c>
      <c r="F90" t="inlineStr">
        <is>
          <t>Male</t>
        </is>
      </c>
      <c r="K90" t="inlineStr">
        <is>
          <t>No</t>
        </is>
      </c>
      <c r="N90" t="inlineStr">
        <is>
          <t>Jane User</t>
        </is>
      </c>
      <c r="O90" t="inlineStr">
        <is>
          <t>Spouse</t>
        </is>
      </c>
      <c r="R90" t="inlineStr">
        <is>
          <t>TransAmerica</t>
        </is>
      </c>
      <c r="S90" t="n">
        <v>5000</v>
      </c>
      <c r="T90" t="n">
        <v>50</v>
      </c>
      <c r="U90" t="inlineStr">
        <is>
          <t>2025-11-20</t>
        </is>
      </c>
      <c r="AE90" t="n">
        <v>76</v>
      </c>
      <c r="AF90" t="n">
        <v>57.68</v>
      </c>
      <c r="AG90" t="n">
        <v>57.68</v>
      </c>
      <c r="AH90" t="n">
        <v>70.81999999999999</v>
      </c>
      <c r="AJ90" t="n">
        <v>75.26000000000001</v>
      </c>
      <c r="AK90" t="n">
        <v>75.26000000000001</v>
      </c>
      <c r="AL90" t="n">
        <v>87.33</v>
      </c>
      <c r="AM90" t="n">
        <v>67.55</v>
      </c>
      <c r="AN90" t="n">
        <v>67.55</v>
      </c>
      <c r="AO90" t="n">
        <v>88.47</v>
      </c>
      <c r="AP90" t="n">
        <v>59.29</v>
      </c>
      <c r="AQ90" t="n">
        <v>59.29</v>
      </c>
      <c r="AR90" t="n">
        <v>59.29</v>
      </c>
      <c r="AS90" t="n">
        <v>66.66</v>
      </c>
      <c r="AT90" t="n">
        <v>66.66</v>
      </c>
      <c r="AU90" t="n">
        <v>60.85</v>
      </c>
      <c r="AV90" t="n">
        <v>60.85</v>
      </c>
      <c r="AW90" t="n">
        <v>79.63</v>
      </c>
      <c r="AX90" t="n">
        <v>55.12</v>
      </c>
      <c r="AY90" t="n">
        <v>55.12</v>
      </c>
      <c r="AZ90" t="n">
        <v>59.29</v>
      </c>
      <c r="BB90" t="n">
        <v>87.33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11.28515625" customWidth="1" style="32" min="1" max="1"/>
    <col width="15.28515625" customWidth="1" style="32" min="2" max="3"/>
    <col width="15.85546875" customWidth="1" style="32" min="4" max="5"/>
    <col width="9.140625" customWidth="1" style="32" min="6" max="6"/>
    <col width="8.5703125" customWidth="1" style="32" min="7" max="26"/>
  </cols>
  <sheetData>
    <row r="1" ht="12" customHeight="1">
      <c r="A1" s="27" t="inlineStr">
        <is>
          <t>Age</t>
        </is>
      </c>
      <c r="B1" s="23" t="inlineStr">
        <is>
          <t>Male Non-Smoker</t>
        </is>
      </c>
      <c r="C1" s="23" t="inlineStr">
        <is>
          <t>Male Smoker</t>
        </is>
      </c>
      <c r="D1" s="23" t="inlineStr">
        <is>
          <t>Female Non-Smoker</t>
        </is>
      </c>
      <c r="E1" s="23" t="inlineStr">
        <is>
          <t>Female Smoker</t>
        </is>
      </c>
    </row>
    <row r="2" ht="12" customHeight="1">
      <c r="A2" s="24" t="n">
        <v>45</v>
      </c>
      <c r="B2" s="82" t="n">
        <v>28.97</v>
      </c>
      <c r="C2" s="82" t="n">
        <v>45.4</v>
      </c>
      <c r="D2" s="82" t="n">
        <v>24</v>
      </c>
      <c r="E2" s="82" t="n">
        <v>36.7</v>
      </c>
    </row>
    <row r="3" ht="12" customHeight="1">
      <c r="A3" s="24" t="n">
        <v>46</v>
      </c>
      <c r="B3" s="82" t="n">
        <v>29.87</v>
      </c>
      <c r="C3" s="82" t="n">
        <v>45.83</v>
      </c>
      <c r="D3" s="82" t="n">
        <v>24.41</v>
      </c>
      <c r="E3" s="82" t="n">
        <v>37.05</v>
      </c>
    </row>
    <row r="4" ht="12" customHeight="1">
      <c r="A4" s="24" t="n">
        <v>47</v>
      </c>
      <c r="B4" s="82" t="n">
        <v>30.78</v>
      </c>
      <c r="C4" s="82" t="n">
        <v>46.29</v>
      </c>
      <c r="D4" s="82" t="n">
        <v>24.81</v>
      </c>
      <c r="E4" s="82" t="n">
        <v>37.43</v>
      </c>
    </row>
    <row r="5" ht="12" customHeight="1">
      <c r="A5" s="24" t="n">
        <v>48</v>
      </c>
      <c r="B5" s="82" t="n">
        <v>31.68</v>
      </c>
      <c r="C5" s="82" t="n">
        <v>46.76</v>
      </c>
      <c r="D5" s="82" t="n">
        <v>25.22</v>
      </c>
      <c r="E5" s="82" t="n">
        <v>37.81</v>
      </c>
    </row>
    <row r="6" ht="12" customHeight="1">
      <c r="A6" s="24" t="n">
        <v>49</v>
      </c>
      <c r="B6" s="82" t="n">
        <v>32.59</v>
      </c>
      <c r="C6" s="82" t="n">
        <v>47.23</v>
      </c>
      <c r="D6" s="82" t="n">
        <v>25.62</v>
      </c>
      <c r="E6" s="82" t="n">
        <v>38.19</v>
      </c>
    </row>
    <row r="7" ht="12" customHeight="1">
      <c r="A7" s="24" t="n">
        <v>50</v>
      </c>
      <c r="B7" s="82" t="n">
        <v>33.49</v>
      </c>
      <c r="C7" s="82" t="n">
        <v>47.71</v>
      </c>
      <c r="D7" s="82" t="n">
        <v>26.03</v>
      </c>
      <c r="E7" s="82" t="n">
        <v>38.57</v>
      </c>
    </row>
    <row r="8" ht="12" customHeight="1">
      <c r="A8" s="24" t="n">
        <v>51</v>
      </c>
      <c r="B8" s="82" t="n">
        <v>34.58</v>
      </c>
      <c r="C8" s="82" t="n">
        <v>50</v>
      </c>
      <c r="D8" s="82" t="n">
        <v>26.6</v>
      </c>
      <c r="E8" s="82" t="n">
        <v>40.17</v>
      </c>
    </row>
    <row r="9" ht="12" customHeight="1">
      <c r="A9" s="24" t="n">
        <v>52</v>
      </c>
      <c r="B9" s="82" t="n">
        <v>35.67</v>
      </c>
      <c r="C9" s="82" t="n">
        <v>52.28</v>
      </c>
      <c r="D9" s="82" t="n">
        <v>27.16</v>
      </c>
      <c r="E9" s="82" t="n">
        <v>41.77</v>
      </c>
    </row>
    <row r="10" ht="12" customHeight="1">
      <c r="A10" s="24" t="n">
        <v>53</v>
      </c>
      <c r="B10" s="82" t="n">
        <v>36.75</v>
      </c>
      <c r="C10" s="82" t="n">
        <v>54.57</v>
      </c>
      <c r="D10" s="82" t="n">
        <v>27.73</v>
      </c>
      <c r="E10" s="82" t="n">
        <v>43.37</v>
      </c>
    </row>
    <row r="11" ht="12" customHeight="1">
      <c r="A11" s="24" t="n">
        <v>54</v>
      </c>
      <c r="B11" s="82" t="n">
        <v>37.84</v>
      </c>
      <c r="C11" s="82" t="n">
        <v>56.85</v>
      </c>
      <c r="D11" s="82" t="n">
        <v>28.29</v>
      </c>
      <c r="E11" s="82" t="n">
        <v>44.97</v>
      </c>
    </row>
    <row r="12" ht="12" customHeight="1">
      <c r="A12" s="24" t="n">
        <v>55</v>
      </c>
      <c r="B12" s="82" t="n">
        <v>38.93</v>
      </c>
      <c r="C12" s="82" t="n">
        <v>59.14</v>
      </c>
      <c r="D12" s="82" t="n">
        <v>28.86</v>
      </c>
      <c r="E12" s="82" t="n">
        <v>46.57</v>
      </c>
    </row>
    <row r="13" ht="12" customHeight="1">
      <c r="A13" s="24" t="n">
        <v>56</v>
      </c>
      <c r="B13" s="82" t="n">
        <v>40.5</v>
      </c>
      <c r="C13" s="82" t="n">
        <v>61.42</v>
      </c>
      <c r="D13" s="82" t="n">
        <v>30.04</v>
      </c>
      <c r="E13" s="82" t="n">
        <v>48.17</v>
      </c>
    </row>
    <row r="14" ht="12" customHeight="1">
      <c r="A14" s="24" t="n">
        <v>57</v>
      </c>
      <c r="B14" s="82" t="n">
        <v>42.08</v>
      </c>
      <c r="C14" s="82" t="n">
        <v>63.71</v>
      </c>
      <c r="D14" s="82" t="n">
        <v>31.23</v>
      </c>
      <c r="E14" s="82" t="n">
        <v>49.77</v>
      </c>
    </row>
    <row r="15" ht="12" customHeight="1">
      <c r="A15" s="24" t="n">
        <v>58</v>
      </c>
      <c r="B15" s="82" t="n">
        <v>43.66</v>
      </c>
      <c r="C15" s="82" t="n">
        <v>66</v>
      </c>
      <c r="D15" s="82" t="n">
        <v>32.42</v>
      </c>
      <c r="E15" s="82" t="n">
        <v>51.37</v>
      </c>
    </row>
    <row r="16" ht="12" customHeight="1">
      <c r="A16" s="24" t="n">
        <v>59</v>
      </c>
      <c r="B16" s="82" t="n">
        <v>45.23</v>
      </c>
      <c r="C16" s="82" t="n">
        <v>68.28</v>
      </c>
      <c r="D16" s="82" t="n">
        <v>33.61</v>
      </c>
      <c r="E16" s="82" t="n">
        <v>52.97</v>
      </c>
    </row>
    <row r="17" ht="12" customHeight="1">
      <c r="A17" s="24" t="n">
        <v>60</v>
      </c>
      <c r="B17" s="82" t="n">
        <v>46.81</v>
      </c>
      <c r="C17" s="82" t="n">
        <v>70.56999999999999</v>
      </c>
      <c r="D17" s="82" t="n">
        <v>34.8</v>
      </c>
      <c r="E17" s="82" t="n">
        <v>54.57</v>
      </c>
    </row>
    <row r="18" ht="12" customHeight="1">
      <c r="A18" s="24" t="n">
        <v>61</v>
      </c>
      <c r="B18" s="82" t="n">
        <v>49.24</v>
      </c>
      <c r="C18" s="82" t="n">
        <v>75.48</v>
      </c>
      <c r="D18" s="82" t="n">
        <v>36.93</v>
      </c>
      <c r="E18" s="82" t="n">
        <v>57.31</v>
      </c>
    </row>
    <row r="19" ht="12" customHeight="1">
      <c r="A19" s="24" t="n">
        <v>62</v>
      </c>
      <c r="B19" s="82" t="n">
        <v>51.67</v>
      </c>
      <c r="C19" s="82" t="n">
        <v>80.40000000000001</v>
      </c>
      <c r="D19" s="82" t="n">
        <v>39.06</v>
      </c>
      <c r="E19" s="82" t="n">
        <v>60.06</v>
      </c>
    </row>
    <row r="20" ht="12" customHeight="1">
      <c r="A20" s="24" t="n">
        <v>63</v>
      </c>
      <c r="B20" s="82" t="n">
        <v>54.11</v>
      </c>
      <c r="C20" s="82" t="n">
        <v>85.31</v>
      </c>
      <c r="D20" s="82" t="n">
        <v>41.2</v>
      </c>
      <c r="E20" s="82" t="n">
        <v>62.8</v>
      </c>
    </row>
    <row r="21" ht="12" customHeight="1">
      <c r="A21" s="24" t="n">
        <v>64</v>
      </c>
      <c r="B21" s="82" t="n">
        <v>56.54</v>
      </c>
      <c r="C21" s="82" t="n">
        <v>90.23</v>
      </c>
      <c r="D21" s="82" t="n">
        <v>43.33</v>
      </c>
      <c r="E21" s="82" t="n">
        <v>65.54000000000001</v>
      </c>
    </row>
    <row r="22" ht="12" customHeight="1">
      <c r="A22" s="24" t="n">
        <v>65</v>
      </c>
      <c r="B22" s="82" t="n">
        <v>58.98</v>
      </c>
      <c r="C22" s="82" t="n">
        <v>95.14</v>
      </c>
      <c r="D22" s="82" t="n">
        <v>45.47</v>
      </c>
      <c r="E22" s="82" t="n">
        <v>68.29000000000001</v>
      </c>
    </row>
    <row r="23" ht="12" customHeight="1">
      <c r="A23" s="24" t="n">
        <v>66</v>
      </c>
      <c r="B23" s="82" t="n">
        <v>62.67</v>
      </c>
      <c r="C23" s="82" t="n">
        <v>100.06</v>
      </c>
      <c r="D23" s="82" t="n">
        <v>48.21</v>
      </c>
      <c r="E23" s="82" t="n">
        <v>71.03</v>
      </c>
    </row>
    <row r="24" ht="12" customHeight="1">
      <c r="A24" s="24" t="n">
        <v>67</v>
      </c>
      <c r="B24" s="82" t="n">
        <v>66.37</v>
      </c>
      <c r="C24" s="82" t="n">
        <v>104.97</v>
      </c>
      <c r="D24" s="82" t="n">
        <v>50.95</v>
      </c>
      <c r="E24" s="82" t="n">
        <v>73.77</v>
      </c>
    </row>
    <row r="25" ht="12" customHeight="1">
      <c r="A25" s="24" t="n">
        <v>68</v>
      </c>
      <c r="B25" s="82" t="n">
        <v>70.06999999999999</v>
      </c>
      <c r="C25" s="82" t="n">
        <v>109.89</v>
      </c>
      <c r="D25" s="82" t="n">
        <v>53.69</v>
      </c>
      <c r="E25" s="82" t="n">
        <v>76.52</v>
      </c>
    </row>
    <row r="26" ht="12" customHeight="1">
      <c r="A26" s="24" t="n">
        <v>69</v>
      </c>
      <c r="B26" s="82" t="n">
        <v>73.76000000000001</v>
      </c>
      <c r="C26" s="82" t="n">
        <v>114.8</v>
      </c>
      <c r="D26" s="82" t="n">
        <v>56.43</v>
      </c>
      <c r="E26" s="82" t="n">
        <v>79.26000000000001</v>
      </c>
    </row>
    <row r="27" ht="12" customHeight="1">
      <c r="A27" s="24" t="n">
        <v>70</v>
      </c>
      <c r="B27" s="82" t="n">
        <v>77.45999999999999</v>
      </c>
      <c r="C27" s="82" t="n">
        <v>119.72</v>
      </c>
      <c r="D27" s="82" t="n">
        <v>59.17</v>
      </c>
      <c r="E27" s="82" t="n">
        <v>82</v>
      </c>
    </row>
    <row r="28" ht="12" customHeight="1">
      <c r="A28" s="24" t="n">
        <v>71</v>
      </c>
      <c r="B28" s="82" t="n">
        <v>83.84999999999999</v>
      </c>
      <c r="C28" s="82" t="n">
        <v>131.6</v>
      </c>
      <c r="D28" s="82" t="n">
        <v>65.11</v>
      </c>
      <c r="E28" s="82" t="n">
        <v>91.14</v>
      </c>
    </row>
    <row r="29" ht="12" customHeight="1">
      <c r="A29" s="24" t="n">
        <v>72</v>
      </c>
      <c r="B29" s="82" t="n">
        <v>90.25</v>
      </c>
      <c r="C29" s="82" t="n">
        <v>143.49</v>
      </c>
      <c r="D29" s="82" t="n">
        <v>71.04000000000001</v>
      </c>
      <c r="E29" s="82" t="n">
        <v>100.29</v>
      </c>
    </row>
    <row r="30" ht="12" customHeight="1">
      <c r="A30" s="24" t="n">
        <v>73</v>
      </c>
      <c r="B30" s="82" t="n">
        <v>96.64</v>
      </c>
      <c r="C30" s="82" t="n">
        <v>155.37</v>
      </c>
      <c r="D30" s="82" t="n">
        <v>76.98</v>
      </c>
      <c r="E30" s="82" t="n">
        <v>109.43</v>
      </c>
    </row>
    <row r="31" ht="12" customHeight="1">
      <c r="A31" s="24" t="n">
        <v>74</v>
      </c>
      <c r="B31" s="82" t="n">
        <v>103.03</v>
      </c>
      <c r="C31" s="82" t="n">
        <v>167.26</v>
      </c>
      <c r="D31" s="82" t="n">
        <v>82.92</v>
      </c>
      <c r="E31" s="82" t="n">
        <v>118.57</v>
      </c>
    </row>
    <row r="32" ht="12" customHeight="1">
      <c r="A32" s="24" t="n">
        <v>75</v>
      </c>
      <c r="B32" s="82" t="n">
        <v>109.42</v>
      </c>
      <c r="C32" s="82" t="n">
        <v>179.14</v>
      </c>
      <c r="D32" s="82" t="n">
        <v>88.84999999999999</v>
      </c>
      <c r="E32" s="82" t="n">
        <v>127.72</v>
      </c>
    </row>
    <row r="33" ht="12" customHeight="1">
      <c r="A33" s="24" t="n">
        <v>76</v>
      </c>
      <c r="B33" s="82" t="n">
        <v>122.23</v>
      </c>
      <c r="C33" s="82" t="n">
        <v>191.03</v>
      </c>
      <c r="D33" s="82" t="n">
        <v>96.63</v>
      </c>
      <c r="E33" s="82" t="n">
        <v>136.86</v>
      </c>
    </row>
    <row r="34" ht="12" customHeight="1">
      <c r="A34" s="24" t="n">
        <v>77</v>
      </c>
      <c r="B34" s="82" t="n">
        <v>135.03</v>
      </c>
      <c r="C34" s="82" t="n">
        <v>202.91</v>
      </c>
      <c r="D34" s="82" t="n">
        <v>104.4</v>
      </c>
      <c r="E34" s="82" t="n">
        <v>146</v>
      </c>
    </row>
    <row r="35" ht="12" customHeight="1">
      <c r="A35" s="24" t="n">
        <v>78</v>
      </c>
      <c r="B35" s="82" t="n">
        <v>147.83</v>
      </c>
      <c r="C35" s="82" t="n">
        <v>214.8</v>
      </c>
      <c r="D35" s="82" t="n">
        <v>112.17</v>
      </c>
      <c r="E35" s="82" t="n">
        <v>155.15</v>
      </c>
    </row>
    <row r="36" ht="12" customHeight="1">
      <c r="A36" s="24" t="n">
        <v>79</v>
      </c>
      <c r="B36" s="82" t="n">
        <v>160.63</v>
      </c>
      <c r="C36" s="82" t="n">
        <v>226.69</v>
      </c>
      <c r="D36" s="82" t="n">
        <v>119.94</v>
      </c>
      <c r="E36" s="82" t="n">
        <v>164.29</v>
      </c>
    </row>
    <row r="37" ht="12" customHeight="1">
      <c r="A37" s="24" t="n">
        <v>80</v>
      </c>
      <c r="B37" s="82" t="n">
        <v>173.43</v>
      </c>
      <c r="C37" s="82" t="n">
        <v>238.57</v>
      </c>
      <c r="D37" s="82" t="n">
        <v>127.72</v>
      </c>
      <c r="E37" s="82" t="n">
        <v>173.43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ColWidth="12.5703125" defaultRowHeight="15" customHeight="1"/>
  <cols>
    <col width="11.5703125" customWidth="1" style="32" min="1" max="1"/>
    <col width="14.42578125" customWidth="1" min="2" max="2"/>
    <col width="14.85546875" customWidth="1" style="32" min="3" max="3"/>
    <col width="9.140625" customWidth="1" min="4" max="4"/>
    <col width="8.5703125" customWidth="1" min="5" max="24"/>
  </cols>
  <sheetData>
    <row r="1">
      <c r="A1" s="26" t="inlineStr">
        <is>
          <t>Age</t>
        </is>
      </c>
      <c r="B1" s="26" t="inlineStr">
        <is>
          <t>Male</t>
        </is>
      </c>
      <c r="C1" s="27" t="inlineStr">
        <is>
          <t>Female</t>
        </is>
      </c>
    </row>
    <row r="2">
      <c r="A2" s="28" t="n">
        <v>45</v>
      </c>
      <c r="B2" s="83" t="n">
        <v>70.62</v>
      </c>
      <c r="C2" s="83" t="n">
        <v>70.62</v>
      </c>
    </row>
    <row r="3">
      <c r="A3" s="28" t="n">
        <v>46</v>
      </c>
      <c r="B3" s="83" t="n">
        <v>72.33</v>
      </c>
      <c r="C3" s="83" t="n">
        <v>72.33</v>
      </c>
    </row>
    <row r="4">
      <c r="A4" s="28" t="n">
        <v>47</v>
      </c>
      <c r="B4" s="83" t="n">
        <v>74.01000000000001</v>
      </c>
      <c r="C4" s="83" t="n">
        <v>74.01000000000001</v>
      </c>
    </row>
    <row r="5">
      <c r="A5" s="28" t="n">
        <v>48</v>
      </c>
      <c r="B5" s="83" t="n">
        <v>75.7</v>
      </c>
      <c r="C5" s="83" t="n">
        <v>75.7</v>
      </c>
    </row>
    <row r="6">
      <c r="A6" s="28" t="n">
        <v>49</v>
      </c>
      <c r="B6" s="83" t="n">
        <v>77.39</v>
      </c>
      <c r="C6" s="83" t="n">
        <v>77.39</v>
      </c>
    </row>
    <row r="7">
      <c r="A7" s="28" t="n">
        <v>50</v>
      </c>
      <c r="B7" s="83" t="n">
        <v>79.06999999999999</v>
      </c>
      <c r="C7" s="83" t="n">
        <v>79.06999999999999</v>
      </c>
    </row>
    <row r="8">
      <c r="A8" s="28" t="n">
        <v>51</v>
      </c>
      <c r="B8" s="83" t="n">
        <v>80.67</v>
      </c>
      <c r="C8" s="83" t="n">
        <v>80.67</v>
      </c>
    </row>
    <row r="9">
      <c r="A9" s="28" t="n">
        <v>52</v>
      </c>
      <c r="B9" s="83" t="n">
        <v>82.27</v>
      </c>
      <c r="C9" s="83" t="n">
        <v>82.27</v>
      </c>
    </row>
    <row r="10">
      <c r="A10" s="28" t="n">
        <v>53</v>
      </c>
      <c r="B10" s="83" t="n">
        <v>83.87</v>
      </c>
      <c r="C10" s="83" t="n">
        <v>83.87</v>
      </c>
    </row>
    <row r="11">
      <c r="A11" s="28" t="n">
        <v>54</v>
      </c>
      <c r="B11" s="83" t="n">
        <v>85.47</v>
      </c>
      <c r="C11" s="83" t="n">
        <v>85.47</v>
      </c>
    </row>
    <row r="12">
      <c r="A12" s="28" t="n">
        <v>55</v>
      </c>
      <c r="B12" s="83" t="n">
        <v>87.06999999999999</v>
      </c>
      <c r="C12" s="83" t="n">
        <v>87.06999999999999</v>
      </c>
    </row>
    <row r="13">
      <c r="A13" s="28" t="n">
        <v>56</v>
      </c>
      <c r="B13" s="83" t="n">
        <v>88.67</v>
      </c>
      <c r="C13" s="83" t="n">
        <v>88.67</v>
      </c>
    </row>
    <row r="14">
      <c r="A14" s="28" t="n">
        <v>57</v>
      </c>
      <c r="B14" s="83" t="n">
        <v>90.27</v>
      </c>
      <c r="C14" s="83" t="n">
        <v>90.27</v>
      </c>
    </row>
    <row r="15">
      <c r="A15" s="28" t="n">
        <v>58</v>
      </c>
      <c r="B15" s="83" t="n">
        <v>93.86</v>
      </c>
      <c r="C15" s="83" t="n">
        <v>93.86</v>
      </c>
    </row>
    <row r="16">
      <c r="A16" s="28" t="n">
        <v>59</v>
      </c>
      <c r="B16" s="83" t="n">
        <v>97.45999999999999</v>
      </c>
      <c r="C16" s="83" t="n">
        <v>97.45999999999999</v>
      </c>
    </row>
    <row r="17">
      <c r="A17" s="28" t="n">
        <v>60</v>
      </c>
      <c r="B17" s="83" t="n">
        <v>104.4</v>
      </c>
      <c r="C17" s="83" t="n">
        <v>104.4</v>
      </c>
    </row>
    <row r="18">
      <c r="A18" s="30" t="n">
        <v>61</v>
      </c>
      <c r="B18" s="31" t="n">
        <v>108.22</v>
      </c>
      <c r="C18" s="31" t="n">
        <v>108.22</v>
      </c>
    </row>
    <row r="19">
      <c r="A19" s="30" t="n">
        <v>62</v>
      </c>
      <c r="B19" s="31" t="n">
        <v>111.3</v>
      </c>
      <c r="C19" s="31" t="n">
        <v>111.3</v>
      </c>
    </row>
    <row r="20">
      <c r="A20" s="30" t="n">
        <v>63</v>
      </c>
      <c r="B20" s="31" t="n">
        <v>114.39</v>
      </c>
      <c r="C20" s="31" t="n">
        <v>114.39</v>
      </c>
    </row>
    <row r="21" ht="15.75" customHeight="1">
      <c r="A21" s="30" t="n">
        <v>64</v>
      </c>
      <c r="B21" s="31" t="n">
        <v>118.09</v>
      </c>
      <c r="C21" s="31" t="n">
        <v>118.09</v>
      </c>
    </row>
    <row r="22" ht="15.75" customHeight="1">
      <c r="A22" s="30" t="n">
        <v>65</v>
      </c>
      <c r="B22" s="31" t="n">
        <v>121.82</v>
      </c>
      <c r="C22" s="31" t="n">
        <v>121.82</v>
      </c>
    </row>
    <row r="23" ht="15.75" customHeight="1">
      <c r="A23" s="30" t="n">
        <v>66</v>
      </c>
      <c r="B23" s="31" t="n">
        <v>127.08</v>
      </c>
      <c r="C23" s="31" t="n">
        <v>127.08</v>
      </c>
    </row>
    <row r="24" ht="15.75" customHeight="1">
      <c r="A24" s="30" t="n">
        <v>67</v>
      </c>
      <c r="B24" s="31" t="n">
        <v>132.34</v>
      </c>
      <c r="C24" s="31" t="n">
        <v>132.34</v>
      </c>
    </row>
    <row r="25" ht="15.75" customHeight="1">
      <c r="A25" s="30" t="n">
        <v>68</v>
      </c>
      <c r="B25" s="31" t="n">
        <v>137.6</v>
      </c>
      <c r="C25" s="31" t="n">
        <v>137.6</v>
      </c>
    </row>
    <row r="26" ht="15.75" customHeight="1">
      <c r="A26" s="30" t="n">
        <v>69</v>
      </c>
      <c r="B26" s="31" t="n">
        <v>142.85</v>
      </c>
      <c r="C26" s="31" t="n">
        <v>142.85</v>
      </c>
    </row>
    <row r="27" ht="15.75" customHeight="1">
      <c r="A27" s="30" t="n">
        <v>70</v>
      </c>
      <c r="B27" s="31" t="n">
        <v>150.62</v>
      </c>
      <c r="C27" s="31" t="n">
        <v>150.62</v>
      </c>
    </row>
    <row r="28" ht="15.75" customHeight="1">
      <c r="A28" s="30" t="n">
        <v>71</v>
      </c>
      <c r="B28" s="31" t="n">
        <v>162.19</v>
      </c>
      <c r="C28" s="31" t="n">
        <v>162.19</v>
      </c>
    </row>
    <row r="29" ht="15.75" customHeight="1">
      <c r="A29" s="30" t="n">
        <v>72</v>
      </c>
      <c r="B29" s="31" t="n">
        <v>174.91</v>
      </c>
      <c r="C29" s="31" t="n">
        <v>174.91</v>
      </c>
    </row>
    <row r="30" ht="15.75" customHeight="1">
      <c r="A30" s="30" t="n">
        <v>73</v>
      </c>
      <c r="B30" s="31" t="n">
        <v>190.17</v>
      </c>
      <c r="C30" s="31" t="n">
        <v>190.17</v>
      </c>
    </row>
    <row r="31" ht="15.75" customHeight="1">
      <c r="A31" s="30" t="n">
        <v>74</v>
      </c>
      <c r="B31" s="31" t="n">
        <v>205.48</v>
      </c>
      <c r="C31" s="31" t="n">
        <v>205.48</v>
      </c>
    </row>
    <row r="32" ht="15.75" customHeight="1">
      <c r="A32" s="30" t="n">
        <v>75</v>
      </c>
      <c r="B32" s="31" t="n">
        <v>223.76</v>
      </c>
      <c r="C32" s="31" t="n">
        <v>223.76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ColWidth="12.5703125" defaultRowHeight="15" customHeight="1"/>
  <cols>
    <col width="7.140625" customWidth="1" style="16" min="1" max="1"/>
    <col width="17.7109375" customWidth="1" style="32" min="2" max="2"/>
    <col width="13.85546875" customWidth="1" style="32" min="3" max="3"/>
    <col width="17.7109375" customWidth="1" style="32" min="4" max="4"/>
    <col width="15.140625" customWidth="1" style="32" min="5" max="5"/>
    <col width="9.140625" customWidth="1" style="32" min="6" max="6"/>
    <col width="8.5703125" customWidth="1" style="32" min="7" max="26"/>
  </cols>
  <sheetData>
    <row r="1" ht="12" customHeight="1">
      <c r="A1" s="36" t="inlineStr">
        <is>
          <t>Age</t>
        </is>
      </c>
      <c r="B1" s="23" t="inlineStr">
        <is>
          <t>Male Non-Smoker</t>
        </is>
      </c>
      <c r="C1" s="23" t="inlineStr">
        <is>
          <t>Male Smoker</t>
        </is>
      </c>
      <c r="D1" s="37" t="inlineStr">
        <is>
          <t>Female Non-Smoker</t>
        </is>
      </c>
      <c r="E1" s="23" t="inlineStr">
        <is>
          <t>Female Smoker</t>
        </is>
      </c>
    </row>
    <row r="2" ht="12" customHeight="1">
      <c r="A2" s="38" t="n">
        <v>50</v>
      </c>
      <c r="B2" s="82" t="n">
        <v>52.9</v>
      </c>
      <c r="C2" s="82" t="n">
        <v>77.90000000000001</v>
      </c>
      <c r="D2" s="82" t="n">
        <v>41.8</v>
      </c>
      <c r="E2" s="82" t="n">
        <v>60.05</v>
      </c>
    </row>
    <row r="3" ht="12" customHeight="1">
      <c r="A3" s="38" t="n">
        <v>51</v>
      </c>
      <c r="B3" s="82" t="n">
        <v>55.05</v>
      </c>
      <c r="C3" s="82" t="n">
        <v>82.40000000000001</v>
      </c>
      <c r="D3" s="82" t="n">
        <v>43.25</v>
      </c>
      <c r="E3" s="82" t="n">
        <v>63.35</v>
      </c>
    </row>
    <row r="4" ht="12" customHeight="1">
      <c r="A4" s="38" t="n">
        <v>52</v>
      </c>
      <c r="B4" s="82" t="n">
        <v>57.2</v>
      </c>
      <c r="C4" s="82" t="n">
        <v>86.90000000000001</v>
      </c>
      <c r="D4" s="82" t="n">
        <v>44.7</v>
      </c>
      <c r="E4" s="82" t="n">
        <v>66.65000000000001</v>
      </c>
    </row>
    <row r="5" ht="12" customHeight="1">
      <c r="A5" s="38" t="n">
        <v>53</v>
      </c>
      <c r="B5" s="82" t="n">
        <v>59.35</v>
      </c>
      <c r="C5" s="82" t="n">
        <v>91.40000000000001</v>
      </c>
      <c r="D5" s="82" t="n">
        <v>46.15</v>
      </c>
      <c r="E5" s="82" t="n">
        <v>69.95</v>
      </c>
    </row>
    <row r="6" ht="12" customHeight="1">
      <c r="A6" s="38" t="n">
        <v>54</v>
      </c>
      <c r="B6" s="82" t="n">
        <v>61.5</v>
      </c>
      <c r="C6" s="82" t="n">
        <v>95.90000000000001</v>
      </c>
      <c r="D6" s="82" t="n">
        <v>47.6</v>
      </c>
      <c r="E6" s="82" t="n">
        <v>73.25</v>
      </c>
    </row>
    <row r="7" ht="12" customHeight="1">
      <c r="A7" s="38" t="n">
        <v>55</v>
      </c>
      <c r="B7" s="82" t="n">
        <v>63.65</v>
      </c>
      <c r="C7" s="82" t="n">
        <v>100.4</v>
      </c>
      <c r="D7" s="82" t="n">
        <v>49.05</v>
      </c>
      <c r="E7" s="82" t="n">
        <v>76.55</v>
      </c>
    </row>
    <row r="8" ht="12" customHeight="1">
      <c r="A8" s="38" t="n">
        <v>56</v>
      </c>
      <c r="B8" s="82" t="n">
        <v>66.5</v>
      </c>
      <c r="C8" s="82" t="n">
        <v>104.45</v>
      </c>
      <c r="D8" s="82" t="n">
        <v>51.25</v>
      </c>
      <c r="E8" s="82" t="n">
        <v>80.05</v>
      </c>
    </row>
    <row r="9" ht="12" customHeight="1">
      <c r="A9" s="38" t="n">
        <v>57</v>
      </c>
      <c r="B9" s="82" t="n">
        <v>69.34999999999999</v>
      </c>
      <c r="C9" s="82" t="n">
        <v>108.5</v>
      </c>
      <c r="D9" s="82" t="n">
        <v>53.45</v>
      </c>
      <c r="E9" s="82" t="n">
        <v>83.5</v>
      </c>
    </row>
    <row r="10" ht="12" customHeight="1">
      <c r="A10" s="38" t="n">
        <v>58</v>
      </c>
      <c r="B10" s="82" t="n">
        <v>72.2</v>
      </c>
      <c r="C10" s="82" t="n">
        <v>112.55</v>
      </c>
      <c r="D10" s="82" t="n">
        <v>55.65</v>
      </c>
      <c r="E10" s="82" t="n">
        <v>86.95</v>
      </c>
    </row>
    <row r="11" ht="12" customHeight="1">
      <c r="A11" s="38" t="n">
        <v>59</v>
      </c>
      <c r="B11" s="82" t="n">
        <v>75.05</v>
      </c>
      <c r="C11" s="82" t="n">
        <v>116.6</v>
      </c>
      <c r="D11" s="82" t="n">
        <v>57.85</v>
      </c>
      <c r="E11" s="82" t="n">
        <v>90.45</v>
      </c>
    </row>
    <row r="12" ht="12" customHeight="1">
      <c r="A12" s="38" t="n">
        <v>60</v>
      </c>
      <c r="B12" s="82" t="n">
        <v>77.90000000000001</v>
      </c>
      <c r="C12" s="82" t="n">
        <v>120.65</v>
      </c>
      <c r="D12" s="82" t="n">
        <v>60.05</v>
      </c>
      <c r="E12" s="82" t="n">
        <v>93.90000000000001</v>
      </c>
    </row>
    <row r="13" ht="12" customHeight="1">
      <c r="A13" s="38" t="n">
        <v>61</v>
      </c>
      <c r="B13" s="82" t="n">
        <v>82.40000000000001</v>
      </c>
      <c r="C13" s="82" t="n">
        <v>126.75</v>
      </c>
      <c r="D13" s="82" t="n">
        <v>63.35</v>
      </c>
      <c r="E13" s="82" t="n">
        <v>99.15000000000001</v>
      </c>
    </row>
    <row r="14" ht="12" customHeight="1">
      <c r="A14" s="38" t="n">
        <v>62</v>
      </c>
      <c r="B14" s="82" t="n">
        <v>86.90000000000001</v>
      </c>
      <c r="C14" s="82" t="n">
        <v>132.8</v>
      </c>
      <c r="D14" s="82" t="n">
        <v>66.65000000000001</v>
      </c>
      <c r="E14" s="82" t="n">
        <v>104.35</v>
      </c>
    </row>
    <row r="15" ht="12" customHeight="1">
      <c r="A15" s="38" t="n">
        <v>63</v>
      </c>
      <c r="B15" s="82" t="n">
        <v>91.40000000000001</v>
      </c>
      <c r="C15" s="82" t="n">
        <v>138.85</v>
      </c>
      <c r="D15" s="82" t="n">
        <v>69.95</v>
      </c>
      <c r="E15" s="82" t="n">
        <v>109.6</v>
      </c>
    </row>
    <row r="16" ht="12" customHeight="1">
      <c r="A16" s="38" t="n">
        <v>64</v>
      </c>
      <c r="B16" s="82" t="n">
        <v>95.90000000000001</v>
      </c>
      <c r="C16" s="82" t="n">
        <v>144.9</v>
      </c>
      <c r="D16" s="82" t="n">
        <v>73.25</v>
      </c>
      <c r="E16" s="82" t="n">
        <v>114.85</v>
      </c>
    </row>
    <row r="17" ht="12" customHeight="1">
      <c r="A17" s="38" t="n">
        <v>65</v>
      </c>
      <c r="B17" s="82" t="n">
        <v>100.4</v>
      </c>
      <c r="C17" s="82" t="n">
        <v>150.95</v>
      </c>
      <c r="D17" s="82" t="n">
        <v>76.55</v>
      </c>
      <c r="E17" s="82" t="n">
        <v>120.05</v>
      </c>
    </row>
    <row r="18" ht="12" customHeight="1">
      <c r="A18" s="38" t="n">
        <v>66</v>
      </c>
      <c r="B18" s="82" t="n">
        <v>108.5</v>
      </c>
      <c r="C18" s="82" t="n">
        <v>163.2</v>
      </c>
      <c r="D18" s="82" t="n">
        <v>83.5</v>
      </c>
      <c r="E18" s="82" t="n">
        <v>128.6</v>
      </c>
    </row>
    <row r="19" ht="12" customHeight="1">
      <c r="A19" s="38" t="n">
        <v>67</v>
      </c>
      <c r="B19" s="82" t="n">
        <v>116.6</v>
      </c>
      <c r="C19" s="82" t="n">
        <v>175.45</v>
      </c>
      <c r="D19" s="82" t="n">
        <v>90.45</v>
      </c>
      <c r="E19" s="82" t="n">
        <v>137.15</v>
      </c>
    </row>
    <row r="20" ht="12" customHeight="1">
      <c r="A20" s="38" t="n">
        <v>68</v>
      </c>
      <c r="B20" s="82" t="n">
        <v>124.7</v>
      </c>
      <c r="C20" s="82" t="n">
        <v>187.7</v>
      </c>
      <c r="D20" s="82" t="n">
        <v>97.40000000000001</v>
      </c>
      <c r="E20" s="82" t="n">
        <v>145.7</v>
      </c>
    </row>
    <row r="21" ht="12" customHeight="1">
      <c r="A21" s="38" t="n">
        <v>69</v>
      </c>
      <c r="B21" s="82" t="n">
        <v>132.8</v>
      </c>
      <c r="C21" s="82" t="n">
        <v>199.95</v>
      </c>
      <c r="D21" s="82" t="n">
        <v>104.35</v>
      </c>
      <c r="E21" s="82" t="n">
        <v>154.25</v>
      </c>
    </row>
    <row r="22" ht="12" customHeight="1">
      <c r="A22" s="38" t="n">
        <v>70</v>
      </c>
      <c r="B22" s="82" t="n">
        <v>140.9</v>
      </c>
      <c r="C22" s="82" t="n">
        <v>212.2</v>
      </c>
      <c r="D22" s="82" t="n">
        <v>111.3</v>
      </c>
      <c r="E22" s="82" t="n">
        <v>162.8</v>
      </c>
    </row>
    <row r="23" ht="12" customHeight="1">
      <c r="A23" s="38" t="n">
        <v>71</v>
      </c>
      <c r="B23" s="82" t="n">
        <v>153.2</v>
      </c>
      <c r="C23" s="82" t="n">
        <v>229</v>
      </c>
      <c r="D23" s="82" t="n">
        <v>121.15</v>
      </c>
      <c r="E23" s="82" t="n">
        <v>177</v>
      </c>
    </row>
    <row r="24" ht="12" customHeight="1">
      <c r="A24" s="38" t="n">
        <v>72</v>
      </c>
      <c r="B24" s="82" t="n">
        <v>165.5</v>
      </c>
      <c r="C24" s="82" t="n">
        <v>245.8</v>
      </c>
      <c r="D24" s="82" t="n">
        <v>131</v>
      </c>
      <c r="E24" s="82" t="n">
        <v>191.2</v>
      </c>
    </row>
    <row r="25" ht="12" customHeight="1">
      <c r="A25" s="38" t="n">
        <v>73</v>
      </c>
      <c r="B25" s="82" t="n">
        <v>177.8</v>
      </c>
      <c r="C25" s="82" t="n">
        <v>262.6</v>
      </c>
      <c r="D25" s="82" t="n">
        <v>140.85</v>
      </c>
      <c r="E25" s="82" t="n">
        <v>205.4</v>
      </c>
    </row>
    <row r="26" ht="12" customHeight="1">
      <c r="A26" s="38" t="n">
        <v>74</v>
      </c>
      <c r="B26" s="82" t="n">
        <v>190.1</v>
      </c>
      <c r="C26" s="82" t="n">
        <v>279.4</v>
      </c>
      <c r="D26" s="82" t="n">
        <v>150.7</v>
      </c>
      <c r="E26" s="82" t="n">
        <v>219.6</v>
      </c>
    </row>
    <row r="27" ht="12" customHeight="1">
      <c r="A27" s="38" t="n">
        <v>75</v>
      </c>
      <c r="B27" s="82" t="n">
        <v>202.4</v>
      </c>
      <c r="C27" s="82" t="n">
        <v>296.2</v>
      </c>
      <c r="D27" s="82" t="n">
        <v>160.55</v>
      </c>
      <c r="E27" s="82" t="n">
        <v>233.8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ColWidth="12.5703125" defaultRowHeight="15" customHeight="1"/>
  <cols>
    <col width="11.140625" customWidth="1" style="32" min="1" max="1"/>
    <col width="11.7109375" customWidth="1" style="32" min="2" max="2"/>
    <col width="13" customWidth="1" style="32" min="3" max="3"/>
    <col width="9.140625" customWidth="1" min="4" max="6"/>
    <col width="8.5703125" customWidth="1" min="7" max="26"/>
  </cols>
  <sheetData>
    <row r="1" ht="12" customHeight="1">
      <c r="A1" s="4" t="inlineStr">
        <is>
          <t>Age</t>
        </is>
      </c>
      <c r="B1" s="4" t="inlineStr">
        <is>
          <t>Male</t>
        </is>
      </c>
      <c r="C1" s="4" t="inlineStr">
        <is>
          <t>Female</t>
        </is>
      </c>
    </row>
    <row r="2" ht="12" customHeight="1">
      <c r="A2" s="12" t="n">
        <v>45</v>
      </c>
      <c r="B2" s="84" t="n">
        <v>32.38</v>
      </c>
      <c r="C2" s="84" t="n">
        <v>30.03</v>
      </c>
    </row>
    <row r="3" ht="12" customHeight="1">
      <c r="A3" s="34" t="n">
        <v>46</v>
      </c>
      <c r="B3" s="85" t="n">
        <v>33.63</v>
      </c>
      <c r="C3" s="85" t="n">
        <v>31.21</v>
      </c>
    </row>
    <row r="4" ht="12" customHeight="1">
      <c r="A4" s="34" t="n">
        <v>47</v>
      </c>
      <c r="B4" s="85" t="n">
        <v>34.89</v>
      </c>
      <c r="C4" s="85" t="n">
        <v>32.39</v>
      </c>
    </row>
    <row r="5" ht="12" customHeight="1">
      <c r="A5" s="34" t="n">
        <v>48</v>
      </c>
      <c r="B5" s="85" t="n">
        <v>36.24</v>
      </c>
      <c r="C5" s="85" t="n">
        <v>33.64</v>
      </c>
    </row>
    <row r="6" ht="12" customHeight="1">
      <c r="A6" s="34" t="n">
        <v>49</v>
      </c>
      <c r="B6" s="85" t="n">
        <v>37.67</v>
      </c>
      <c r="C6" s="85" t="n">
        <v>34.9</v>
      </c>
    </row>
    <row r="7" ht="12" customHeight="1">
      <c r="A7" s="34" t="n">
        <v>50</v>
      </c>
      <c r="B7" s="85" t="n">
        <v>39.11</v>
      </c>
      <c r="C7" s="85" t="n">
        <v>36.25</v>
      </c>
    </row>
    <row r="8" ht="12" customHeight="1">
      <c r="A8" s="34" t="n">
        <v>51</v>
      </c>
      <c r="B8" s="85" t="n">
        <v>40.72</v>
      </c>
      <c r="C8" s="85" t="n">
        <v>37.68</v>
      </c>
    </row>
    <row r="9" ht="12" customHeight="1">
      <c r="A9" s="34" t="n">
        <v>52</v>
      </c>
      <c r="B9" s="85" t="n">
        <v>42.74</v>
      </c>
      <c r="C9" s="85" t="n">
        <v>39.12</v>
      </c>
    </row>
    <row r="10" ht="12" customHeight="1">
      <c r="A10" s="34" t="n">
        <v>53</v>
      </c>
      <c r="B10" s="85" t="n">
        <v>44.92</v>
      </c>
      <c r="C10" s="85" t="n">
        <v>40.63</v>
      </c>
    </row>
    <row r="11" ht="12" customHeight="1">
      <c r="A11" s="34" t="n">
        <v>54</v>
      </c>
      <c r="B11" s="85" t="n">
        <v>47.21</v>
      </c>
      <c r="C11" s="85" t="n">
        <v>42.54</v>
      </c>
    </row>
    <row r="12" ht="12" customHeight="1">
      <c r="A12" s="34" t="n">
        <v>55</v>
      </c>
      <c r="B12" s="85" t="n">
        <v>49.63</v>
      </c>
      <c r="C12" s="85" t="n">
        <v>44.61</v>
      </c>
    </row>
    <row r="13" ht="12" customHeight="1">
      <c r="A13" s="34" t="n">
        <v>56</v>
      </c>
      <c r="B13" s="85" t="n">
        <v>52.39</v>
      </c>
      <c r="C13" s="85" t="n">
        <v>46.77</v>
      </c>
    </row>
    <row r="14" ht="12" customHeight="1">
      <c r="A14" s="34" t="n">
        <v>57</v>
      </c>
      <c r="B14" s="85" t="n">
        <v>55.03</v>
      </c>
      <c r="C14" s="85" t="n">
        <v>49.05</v>
      </c>
    </row>
    <row r="15" ht="12" customHeight="1">
      <c r="A15" s="34" t="n">
        <v>58</v>
      </c>
      <c r="B15" s="85" t="n">
        <v>57.78</v>
      </c>
      <c r="C15" s="85" t="n">
        <v>51.66</v>
      </c>
    </row>
    <row r="16" ht="12" customHeight="1">
      <c r="A16" s="34" t="n">
        <v>59</v>
      </c>
      <c r="B16" s="85" t="n">
        <v>60.68</v>
      </c>
      <c r="C16" s="85" t="n">
        <v>54.13</v>
      </c>
    </row>
    <row r="17" ht="12" customHeight="1">
      <c r="A17" s="34" t="n">
        <v>60</v>
      </c>
      <c r="B17" s="85" t="n">
        <v>63.71</v>
      </c>
      <c r="C17" s="85" t="n">
        <v>56.7</v>
      </c>
    </row>
    <row r="18" ht="12" customHeight="1">
      <c r="A18" s="34" t="n">
        <v>61</v>
      </c>
      <c r="B18" s="85" t="n">
        <v>66.90000000000001</v>
      </c>
      <c r="C18" s="85" t="n">
        <v>59.41</v>
      </c>
    </row>
    <row r="19" ht="12" customHeight="1">
      <c r="A19" s="34" t="n">
        <v>62</v>
      </c>
      <c r="B19" s="85" t="n">
        <v>70.25</v>
      </c>
      <c r="C19" s="85" t="n">
        <v>62.22</v>
      </c>
    </row>
    <row r="20" ht="12" customHeight="1">
      <c r="A20" s="34" t="n">
        <v>63</v>
      </c>
      <c r="B20" s="85" t="n">
        <v>73.76000000000001</v>
      </c>
      <c r="C20" s="85" t="n">
        <v>65.18000000000001</v>
      </c>
    </row>
    <row r="21" ht="12" customHeight="1">
      <c r="A21" s="34" t="n">
        <v>64</v>
      </c>
      <c r="B21" s="85" t="n">
        <v>77.45999999999999</v>
      </c>
      <c r="C21" s="85" t="n">
        <v>68.28</v>
      </c>
    </row>
    <row r="22" ht="12" customHeight="1">
      <c r="A22" s="34" t="n">
        <v>65</v>
      </c>
      <c r="B22" s="85" t="n">
        <v>83.12</v>
      </c>
      <c r="C22" s="85" t="n">
        <v>72.04000000000001</v>
      </c>
    </row>
    <row r="23" ht="12" customHeight="1">
      <c r="A23" s="39" t="n">
        <v>66</v>
      </c>
      <c r="B23" s="84" t="n">
        <v>89.2</v>
      </c>
      <c r="C23" s="84" t="n">
        <v>76.36</v>
      </c>
    </row>
    <row r="24" ht="12" customHeight="1">
      <c r="A24" s="40" t="n">
        <v>67</v>
      </c>
      <c r="B24" s="85" t="n">
        <v>95.72</v>
      </c>
      <c r="C24" s="85" t="n">
        <v>80.94</v>
      </c>
    </row>
    <row r="25" ht="12" customHeight="1">
      <c r="A25" s="40" t="n">
        <v>68</v>
      </c>
      <c r="B25" s="85" t="n">
        <v>102.72</v>
      </c>
      <c r="C25" s="85" t="n">
        <v>85.8</v>
      </c>
    </row>
    <row r="26" ht="12" customHeight="1">
      <c r="A26" s="40" t="n">
        <v>69</v>
      </c>
      <c r="B26" s="85" t="n">
        <v>110.22</v>
      </c>
      <c r="C26" s="85" t="n">
        <v>90.94</v>
      </c>
    </row>
    <row r="27" ht="12" customHeight="1">
      <c r="A27" s="40" t="n">
        <v>70</v>
      </c>
      <c r="B27" s="85" t="n">
        <v>118.28</v>
      </c>
      <c r="C27" s="85" t="n">
        <v>96.40000000000001</v>
      </c>
    </row>
    <row r="28" ht="12" customHeight="1">
      <c r="A28" s="40" t="n">
        <v>71</v>
      </c>
      <c r="B28" s="85" t="n">
        <v>126.93</v>
      </c>
      <c r="C28" s="85" t="n">
        <v>102.18</v>
      </c>
    </row>
    <row r="29" ht="12" customHeight="1">
      <c r="A29" s="40" t="n">
        <v>72</v>
      </c>
      <c r="B29" s="85" t="n">
        <v>136.21</v>
      </c>
      <c r="C29" s="85" t="n">
        <v>108.31</v>
      </c>
    </row>
    <row r="30" ht="12" customHeight="1">
      <c r="A30" s="40" t="n">
        <v>73</v>
      </c>
      <c r="B30" s="85" t="n">
        <v>146.17</v>
      </c>
      <c r="C30" s="85" t="n">
        <v>114.81</v>
      </c>
    </row>
    <row r="31" ht="12" customHeight="1">
      <c r="A31" s="40" t="n">
        <v>74</v>
      </c>
      <c r="B31" s="85" t="n">
        <v>156.85</v>
      </c>
      <c r="C31" s="85" t="n">
        <v>121.7</v>
      </c>
    </row>
    <row r="32" ht="12" customHeight="1">
      <c r="A32" s="40" t="n">
        <v>75</v>
      </c>
      <c r="B32" s="85" t="n">
        <v>168.32</v>
      </c>
      <c r="C32" s="85" t="n">
        <v>129</v>
      </c>
    </row>
    <row r="33" ht="12" customHeight="1">
      <c r="A33" s="40" t="n">
        <v>76</v>
      </c>
      <c r="B33" s="85" t="n">
        <v>180.62</v>
      </c>
      <c r="C33" s="85" t="n">
        <v>136.74</v>
      </c>
    </row>
    <row r="34" ht="12" customHeight="1">
      <c r="A34" s="40" t="n">
        <v>77</v>
      </c>
      <c r="B34" s="85" t="n">
        <v>193.83</v>
      </c>
      <c r="C34" s="85" t="n">
        <v>144.95</v>
      </c>
    </row>
    <row r="35" ht="12" customHeight="1">
      <c r="A35" s="40" t="n">
        <v>78</v>
      </c>
      <c r="B35" s="85" t="n">
        <v>208</v>
      </c>
      <c r="C35" s="85" t="n">
        <v>153.65</v>
      </c>
    </row>
    <row r="36" ht="12" customHeight="1">
      <c r="A36" s="40" t="n">
        <v>79</v>
      </c>
      <c r="B36" s="85" t="n">
        <v>223.08</v>
      </c>
      <c r="C36" s="85" t="n">
        <v>164.4</v>
      </c>
    </row>
    <row r="37" ht="12" customHeight="1">
      <c r="A37" s="40" t="n">
        <v>80</v>
      </c>
      <c r="B37" s="85" t="n">
        <v>239.25</v>
      </c>
      <c r="C37" s="85" t="n">
        <v>175.91</v>
      </c>
    </row>
    <row r="38" ht="12" customHeight="1">
      <c r="A38" s="40" t="n">
        <v>81</v>
      </c>
      <c r="B38" s="85" t="n">
        <v>256.6</v>
      </c>
      <c r="C38" s="85" t="n">
        <v>188.22</v>
      </c>
    </row>
    <row r="39" ht="12" customHeight="1">
      <c r="A39" s="40" t="n">
        <v>82</v>
      </c>
      <c r="B39" s="85" t="n">
        <v>275.2</v>
      </c>
      <c r="C39" s="85" t="n">
        <v>201.4</v>
      </c>
    </row>
    <row r="40" ht="12" customHeight="1">
      <c r="A40" s="40" t="n">
        <v>83</v>
      </c>
      <c r="B40" s="85" t="n">
        <v>295.15</v>
      </c>
      <c r="C40" s="85" t="n">
        <v>215.5</v>
      </c>
    </row>
    <row r="41" ht="12" customHeight="1">
      <c r="A41" s="40" t="n">
        <v>84</v>
      </c>
      <c r="B41" s="85" t="n">
        <v>316.55</v>
      </c>
      <c r="C41" s="85" t="n">
        <v>230.58</v>
      </c>
    </row>
    <row r="42" ht="12" customHeight="1">
      <c r="A42" s="40" t="n">
        <v>85</v>
      </c>
      <c r="B42" s="85" t="n">
        <v>339.5</v>
      </c>
      <c r="C42" s="85" t="n">
        <v>246.72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11.85546875" customWidth="1" min="1" max="1"/>
    <col width="16.28515625" customWidth="1" min="2" max="2"/>
    <col width="13.28515625" customWidth="1" min="3" max="3"/>
    <col width="17.140625" customWidth="1" style="32" min="4" max="4"/>
    <col width="14.7109375" customWidth="1" style="32" min="5" max="5"/>
    <col width="11.85546875" customWidth="1" min="6" max="26"/>
  </cols>
  <sheetData>
    <row r="1" ht="15" customHeight="1">
      <c r="A1" s="4" t="inlineStr">
        <is>
          <t>Age</t>
        </is>
      </c>
      <c r="B1" s="27" t="inlineStr">
        <is>
          <t>Male Non-Smoker</t>
        </is>
      </c>
      <c r="C1" s="23" t="inlineStr">
        <is>
          <t>Male Smoker</t>
        </is>
      </c>
      <c r="D1" s="23" t="inlineStr">
        <is>
          <t>Female Non-Smoker</t>
        </is>
      </c>
      <c r="E1" s="23" t="inlineStr">
        <is>
          <t>Female Smoker</t>
        </is>
      </c>
    </row>
    <row r="2" ht="15" customHeight="1">
      <c r="A2" s="12" t="n">
        <v>50</v>
      </c>
      <c r="B2" s="84" t="n">
        <v>38.9</v>
      </c>
      <c r="C2" s="84" t="n">
        <v>52.9</v>
      </c>
      <c r="D2" s="84" t="n">
        <v>30.85</v>
      </c>
      <c r="E2" s="84" t="n">
        <v>41.8</v>
      </c>
    </row>
    <row r="3" ht="15" customHeight="1">
      <c r="A3" s="34" t="n">
        <v>51</v>
      </c>
      <c r="B3" s="85" t="n">
        <v>40.35</v>
      </c>
      <c r="C3" s="85" t="n">
        <v>55.05</v>
      </c>
      <c r="D3" s="85" t="n">
        <v>32.05</v>
      </c>
      <c r="E3" s="85" t="n">
        <v>43.25</v>
      </c>
    </row>
    <row r="4" ht="15" customHeight="1">
      <c r="A4" s="34" t="n">
        <v>52</v>
      </c>
      <c r="B4" s="85" t="n">
        <v>41.8</v>
      </c>
      <c r="C4" s="85" t="n">
        <v>57.2</v>
      </c>
      <c r="D4" s="85" t="n">
        <v>33.25</v>
      </c>
      <c r="E4" s="85" t="n">
        <v>44.7</v>
      </c>
    </row>
    <row r="5" ht="15" customHeight="1">
      <c r="A5" s="34" t="n">
        <v>53</v>
      </c>
      <c r="B5" s="85" t="n">
        <v>43.25</v>
      </c>
      <c r="C5" s="85" t="n">
        <v>59.35</v>
      </c>
      <c r="D5" s="85" t="n">
        <v>34.45</v>
      </c>
      <c r="E5" s="85" t="n">
        <v>46.15</v>
      </c>
    </row>
    <row r="6" ht="15" customHeight="1">
      <c r="A6" s="34" t="n">
        <v>54</v>
      </c>
      <c r="B6" s="85" t="n">
        <v>44.7</v>
      </c>
      <c r="C6" s="85" t="n">
        <v>61.5</v>
      </c>
      <c r="D6" s="85" t="n">
        <v>35.65</v>
      </c>
      <c r="E6" s="85" t="n">
        <v>47.6</v>
      </c>
    </row>
    <row r="7" ht="15" customHeight="1">
      <c r="A7" s="34" t="n">
        <v>55</v>
      </c>
      <c r="B7" s="85" t="n">
        <v>46.15</v>
      </c>
      <c r="C7" s="85" t="n">
        <v>63.65</v>
      </c>
      <c r="D7" s="85" t="n">
        <v>36.85</v>
      </c>
      <c r="E7" s="85" t="n">
        <v>49.05</v>
      </c>
    </row>
    <row r="8" ht="15" customHeight="1">
      <c r="A8" s="34" t="n">
        <v>56</v>
      </c>
      <c r="B8" s="85" t="n">
        <v>48.2</v>
      </c>
      <c r="C8" s="85" t="n">
        <v>66.5</v>
      </c>
      <c r="D8" s="85" t="n">
        <v>38.5</v>
      </c>
      <c r="E8" s="85" t="n">
        <v>51.25</v>
      </c>
    </row>
    <row r="9" ht="15" customHeight="1">
      <c r="A9" s="34" t="n">
        <v>57</v>
      </c>
      <c r="B9" s="85" t="n">
        <v>50.25</v>
      </c>
      <c r="C9" s="85" t="n">
        <v>69.34999999999999</v>
      </c>
      <c r="D9" s="85" t="n">
        <v>40.15</v>
      </c>
      <c r="E9" s="85" t="n">
        <v>53.45</v>
      </c>
    </row>
    <row r="10" ht="15" customHeight="1">
      <c r="A10" s="34" t="n">
        <v>58</v>
      </c>
      <c r="B10" s="85" t="n">
        <v>52.3</v>
      </c>
      <c r="C10" s="85" t="n">
        <v>72.2</v>
      </c>
      <c r="D10" s="85" t="n">
        <v>41.8</v>
      </c>
      <c r="E10" s="85" t="n">
        <v>55.65</v>
      </c>
    </row>
    <row r="11" ht="15" customHeight="1">
      <c r="A11" s="34" t="n">
        <v>59</v>
      </c>
      <c r="B11" s="85" t="n">
        <v>54.35</v>
      </c>
      <c r="C11" s="85" t="n">
        <v>75.05</v>
      </c>
      <c r="D11" s="85" t="n">
        <v>43.45</v>
      </c>
      <c r="E11" s="85" t="n">
        <v>57.85</v>
      </c>
    </row>
    <row r="12" ht="15" customHeight="1">
      <c r="A12" s="34" t="n">
        <v>60</v>
      </c>
      <c r="B12" s="85" t="n">
        <v>56.4</v>
      </c>
      <c r="C12" s="85" t="n">
        <v>77.90000000000001</v>
      </c>
      <c r="D12" s="85" t="n">
        <v>45.1</v>
      </c>
      <c r="E12" s="85" t="n">
        <v>60.05</v>
      </c>
    </row>
    <row r="13" ht="15" customHeight="1">
      <c r="A13" s="34" t="n">
        <v>61</v>
      </c>
      <c r="B13" s="85" t="n">
        <v>59.35</v>
      </c>
      <c r="C13" s="85" t="n">
        <v>82.40000000000001</v>
      </c>
      <c r="D13" s="85" t="n">
        <v>47.55</v>
      </c>
      <c r="E13" s="85" t="n">
        <v>63.35</v>
      </c>
    </row>
    <row r="14" ht="15" customHeight="1">
      <c r="A14" s="34" t="n">
        <v>62</v>
      </c>
      <c r="B14" s="85" t="n">
        <v>62.3</v>
      </c>
      <c r="C14" s="85" t="n">
        <v>86.90000000000001</v>
      </c>
      <c r="D14" s="85" t="n">
        <v>50</v>
      </c>
      <c r="E14" s="85" t="n">
        <v>66.65000000000001</v>
      </c>
    </row>
    <row r="15" ht="15" customHeight="1">
      <c r="A15" s="34" t="n">
        <v>63</v>
      </c>
      <c r="B15" s="85" t="n">
        <v>65.25</v>
      </c>
      <c r="C15" s="85" t="n">
        <v>91.40000000000001</v>
      </c>
      <c r="D15" s="85" t="n">
        <v>52.45</v>
      </c>
      <c r="E15" s="85" t="n">
        <v>69.95</v>
      </c>
    </row>
    <row r="16" ht="15" customHeight="1">
      <c r="A16" s="34" t="n">
        <v>64</v>
      </c>
      <c r="B16" s="85" t="n">
        <v>68.2</v>
      </c>
      <c r="C16" s="85" t="n">
        <v>95.90000000000001</v>
      </c>
      <c r="D16" s="85" t="n">
        <v>54.9</v>
      </c>
      <c r="E16" s="85" t="n">
        <v>73.25</v>
      </c>
    </row>
    <row r="17" ht="15" customHeight="1">
      <c r="A17" s="34" t="n">
        <v>65</v>
      </c>
      <c r="B17" s="85" t="n">
        <v>71.15000000000001</v>
      </c>
      <c r="C17" s="85" t="n">
        <v>100.4</v>
      </c>
      <c r="D17" s="85" t="n">
        <v>57.35</v>
      </c>
      <c r="E17" s="85" t="n">
        <v>76.55</v>
      </c>
    </row>
    <row r="18" ht="15" customHeight="1">
      <c r="A18" s="34" t="n">
        <v>66</v>
      </c>
      <c r="B18" s="85" t="n">
        <v>76.2</v>
      </c>
      <c r="C18" s="85" t="n">
        <v>108.5</v>
      </c>
      <c r="D18" s="85" t="n">
        <v>61.8</v>
      </c>
      <c r="E18" s="85" t="n">
        <v>83.5</v>
      </c>
    </row>
    <row r="19" ht="15" customHeight="1">
      <c r="A19" s="34" t="n">
        <v>67</v>
      </c>
      <c r="B19" s="85" t="n">
        <v>81.25</v>
      </c>
      <c r="C19" s="85" t="n">
        <v>116.6</v>
      </c>
      <c r="D19" s="85" t="n">
        <v>66.25</v>
      </c>
      <c r="E19" s="85" t="n">
        <v>90.45</v>
      </c>
    </row>
    <row r="20" ht="15" customHeight="1">
      <c r="A20" s="34" t="n">
        <v>68</v>
      </c>
      <c r="B20" s="85" t="n">
        <v>86.3</v>
      </c>
      <c r="C20" s="85" t="n">
        <v>124.7</v>
      </c>
      <c r="D20" s="85" t="n">
        <v>70.7</v>
      </c>
      <c r="E20" s="85" t="n">
        <v>97.40000000000001</v>
      </c>
    </row>
    <row r="21" ht="15" customHeight="1">
      <c r="A21" s="34" t="n">
        <v>69</v>
      </c>
      <c r="B21" s="85" t="n">
        <v>91.34999999999999</v>
      </c>
      <c r="C21" s="85" t="n">
        <v>132.8</v>
      </c>
      <c r="D21" s="85" t="n">
        <v>75.15000000000001</v>
      </c>
      <c r="E21" s="85" t="n">
        <v>104.35</v>
      </c>
    </row>
    <row r="22" ht="15" customHeight="1">
      <c r="A22" s="34" t="n">
        <v>70</v>
      </c>
      <c r="B22" s="85" t="n">
        <v>96.40000000000001</v>
      </c>
      <c r="C22" s="85" t="n">
        <v>140.9</v>
      </c>
      <c r="D22" s="85" t="n">
        <v>79.59999999999999</v>
      </c>
      <c r="E22" s="85" t="n">
        <v>111.3</v>
      </c>
    </row>
    <row r="23" ht="15" customHeight="1">
      <c r="A23" s="34" t="n">
        <v>71</v>
      </c>
      <c r="B23" s="85" t="n">
        <v>105.1</v>
      </c>
      <c r="C23" s="85" t="n">
        <v>153.2</v>
      </c>
      <c r="D23" s="85" t="n">
        <v>86.84999999999999</v>
      </c>
      <c r="E23" s="85" t="n">
        <v>121.15</v>
      </c>
    </row>
    <row r="24" ht="15" customHeight="1">
      <c r="A24" s="34" t="n">
        <v>72</v>
      </c>
      <c r="B24" s="85" t="n">
        <v>113.8</v>
      </c>
      <c r="C24" s="85" t="n">
        <v>165.5</v>
      </c>
      <c r="D24" s="85" t="n">
        <v>94.09999999999999</v>
      </c>
      <c r="E24" s="85" t="n">
        <v>131</v>
      </c>
    </row>
    <row r="25" ht="15" customHeight="1">
      <c r="A25" s="34" t="n">
        <v>73</v>
      </c>
      <c r="B25" s="85" t="n">
        <v>122.5</v>
      </c>
      <c r="C25" s="85" t="n">
        <v>177.8</v>
      </c>
      <c r="D25" s="85" t="n">
        <v>101.35</v>
      </c>
      <c r="E25" s="85" t="n">
        <v>140.85</v>
      </c>
    </row>
    <row r="26" ht="15" customHeight="1">
      <c r="A26" s="34" t="n">
        <v>74</v>
      </c>
      <c r="B26" s="85" t="n">
        <v>131.2</v>
      </c>
      <c r="C26" s="85" t="n">
        <v>190.1</v>
      </c>
      <c r="D26" s="85" t="n">
        <v>108.6</v>
      </c>
      <c r="E26" s="85" t="n">
        <v>150.7</v>
      </c>
    </row>
    <row r="27" ht="15" customHeight="1">
      <c r="A27" s="34" t="n">
        <v>75</v>
      </c>
      <c r="B27" s="85" t="n">
        <v>139.9</v>
      </c>
      <c r="C27" s="85" t="n">
        <v>202.4</v>
      </c>
      <c r="D27" s="85" t="n">
        <v>115.85</v>
      </c>
      <c r="E27" s="85" t="n">
        <v>160.55</v>
      </c>
    </row>
    <row r="28" ht="15" customHeight="1">
      <c r="A28" s="34" t="n">
        <v>76</v>
      </c>
      <c r="B28" s="85" t="n">
        <v>153.2</v>
      </c>
      <c r="C28" s="85" t="n">
        <v>219.1</v>
      </c>
      <c r="D28" s="85" t="n">
        <v>126.9</v>
      </c>
      <c r="E28" s="85" t="n">
        <v>172.95</v>
      </c>
    </row>
    <row r="29" ht="15" customHeight="1">
      <c r="A29" s="34" t="n">
        <v>77</v>
      </c>
      <c r="B29" s="85" t="n">
        <v>166.5</v>
      </c>
      <c r="C29" s="85" t="n">
        <v>235.8</v>
      </c>
      <c r="D29" s="85" t="n">
        <v>137.95</v>
      </c>
      <c r="E29" s="85" t="n">
        <v>185.35</v>
      </c>
    </row>
    <row r="30" ht="15" customHeight="1">
      <c r="A30" s="34" t="n">
        <v>78</v>
      </c>
      <c r="B30" s="85" t="n">
        <v>179.8</v>
      </c>
      <c r="C30" s="85" t="n">
        <v>252.5</v>
      </c>
      <c r="D30" s="85" t="n">
        <v>149</v>
      </c>
      <c r="E30" s="85" t="n">
        <v>197.75</v>
      </c>
    </row>
    <row r="31" ht="15" customHeight="1">
      <c r="A31" s="34" t="n">
        <v>79</v>
      </c>
      <c r="B31" s="85" t="n">
        <v>193.1</v>
      </c>
      <c r="C31" s="85" t="n">
        <v>269.2</v>
      </c>
      <c r="D31" s="85" t="n">
        <v>160.05</v>
      </c>
      <c r="E31" s="85" t="n">
        <v>210.15</v>
      </c>
    </row>
    <row r="32" ht="15" customHeight="1">
      <c r="A32" s="34" t="n">
        <v>80</v>
      </c>
      <c r="B32" s="85" t="n">
        <v>206.4</v>
      </c>
      <c r="C32" s="85" t="n">
        <v>285.9</v>
      </c>
      <c r="D32" s="85" t="n">
        <v>171.1</v>
      </c>
      <c r="E32" s="85" t="n">
        <v>222.55</v>
      </c>
    </row>
    <row r="33" ht="15" customHeight="1">
      <c r="A33" s="34" t="n">
        <v>81</v>
      </c>
      <c r="B33" s="85" t="n">
        <v>223.1</v>
      </c>
      <c r="C33" s="85" t="n">
        <v>310.2</v>
      </c>
      <c r="D33" s="85" t="n">
        <v>184.6</v>
      </c>
      <c r="E33" s="85" t="n">
        <v>241.2</v>
      </c>
    </row>
    <row r="34" ht="15" customHeight="1">
      <c r="A34" s="34" t="n">
        <v>82</v>
      </c>
      <c r="B34" s="85" t="n">
        <v>239.8</v>
      </c>
      <c r="C34" s="85" t="n">
        <v>334.5</v>
      </c>
      <c r="D34" s="85" t="n">
        <v>198.1</v>
      </c>
      <c r="E34" s="85" t="n">
        <v>259.85</v>
      </c>
    </row>
    <row r="35" ht="15" customHeight="1">
      <c r="A35" s="34" t="n">
        <v>83</v>
      </c>
      <c r="B35" s="85" t="n">
        <v>256.5</v>
      </c>
      <c r="C35" s="85" t="n">
        <v>358.8</v>
      </c>
      <c r="D35" s="85" t="n">
        <v>211.6</v>
      </c>
      <c r="E35" s="85" t="n">
        <v>278.5</v>
      </c>
    </row>
    <row r="36" ht="15" customHeight="1">
      <c r="A36" s="34" t="n">
        <v>84</v>
      </c>
      <c r="B36" s="85" t="n">
        <v>273.2</v>
      </c>
      <c r="C36" s="85" t="n">
        <v>383.1</v>
      </c>
      <c r="D36" s="85" t="n">
        <v>225.1</v>
      </c>
      <c r="E36" s="85" t="n">
        <v>297.15</v>
      </c>
    </row>
    <row r="37" ht="15" customHeight="1">
      <c r="A37" s="34" t="n">
        <v>85</v>
      </c>
      <c r="B37" s="85" t="n">
        <v>289.9</v>
      </c>
      <c r="C37" s="85" t="n">
        <v>407.4</v>
      </c>
      <c r="D37" s="85" t="n">
        <v>238.6</v>
      </c>
      <c r="E37" s="85" t="n">
        <v>315.8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32" min="1" max="1"/>
    <col width="16.28515625" customWidth="1" style="32" min="2" max="2"/>
    <col width="14.85546875" customWidth="1" style="32" min="3" max="3"/>
    <col width="9.140625" customWidth="1" style="32" min="4" max="6"/>
    <col width="8.5703125" customWidth="1" style="32" min="7" max="26"/>
  </cols>
  <sheetData>
    <row r="1" ht="12" customHeight="1">
      <c r="A1" s="36" t="inlineStr">
        <is>
          <t>Age</t>
        </is>
      </c>
      <c r="B1" s="36" t="inlineStr">
        <is>
          <t xml:space="preserve">Male </t>
        </is>
      </c>
      <c r="C1" s="36" t="inlineStr">
        <is>
          <t>Female</t>
        </is>
      </c>
      <c r="D1" s="32" t="inlineStr">
        <is>
          <t xml:space="preserve"> </t>
        </is>
      </c>
    </row>
    <row r="2" ht="12" customHeight="1">
      <c r="A2" s="24" t="n">
        <v>40</v>
      </c>
      <c r="B2" s="82" t="n">
        <v>62.7</v>
      </c>
      <c r="C2" s="82" t="n">
        <v>59.4</v>
      </c>
      <c r="D2" s="32" t="n"/>
    </row>
    <row r="3" ht="12" customHeight="1">
      <c r="A3" s="24" t="n">
        <v>41</v>
      </c>
      <c r="B3" s="82" t="n">
        <v>63.04</v>
      </c>
      <c r="C3" s="82" t="n">
        <v>59.76</v>
      </c>
      <c r="D3" s="32" t="n"/>
    </row>
    <row r="4" ht="12" customHeight="1">
      <c r="A4" s="24" t="n">
        <v>42</v>
      </c>
      <c r="B4" s="82" t="n">
        <v>63.38</v>
      </c>
      <c r="C4" s="82" t="n">
        <v>60.12</v>
      </c>
      <c r="D4" s="32" t="n"/>
    </row>
    <row r="5" ht="12" customHeight="1">
      <c r="A5" s="24" t="n">
        <v>43</v>
      </c>
      <c r="B5" s="82" t="n">
        <v>63.72</v>
      </c>
      <c r="C5" s="82" t="n">
        <v>60.48</v>
      </c>
      <c r="D5" s="32" t="n"/>
    </row>
    <row r="6" ht="12" customHeight="1">
      <c r="A6" s="24" t="n">
        <v>44</v>
      </c>
      <c r="B6" s="82" t="n">
        <v>64.06</v>
      </c>
      <c r="C6" s="82" t="n">
        <v>60.84</v>
      </c>
      <c r="D6" s="32" t="n"/>
    </row>
    <row r="7" ht="12" customHeight="1">
      <c r="A7" s="24" t="n">
        <v>45</v>
      </c>
      <c r="B7" s="82" t="n">
        <v>64.40000000000001</v>
      </c>
      <c r="C7" s="82" t="n">
        <v>61.2</v>
      </c>
      <c r="D7" s="32" t="n"/>
    </row>
    <row r="8" ht="12" customHeight="1">
      <c r="A8" s="24" t="n">
        <v>46</v>
      </c>
      <c r="B8" s="82" t="n">
        <v>64.73999999999999</v>
      </c>
      <c r="C8" s="82" t="n">
        <v>61.56</v>
      </c>
      <c r="D8" s="32" t="n"/>
    </row>
    <row r="9" ht="12" customHeight="1">
      <c r="A9" s="24" t="n">
        <v>47</v>
      </c>
      <c r="B9" s="82" t="n">
        <v>65.08</v>
      </c>
      <c r="C9" s="82" t="n">
        <v>61.92</v>
      </c>
      <c r="D9" s="32" t="n"/>
    </row>
    <row r="10" ht="12" customHeight="1">
      <c r="A10" s="24" t="n">
        <v>48</v>
      </c>
      <c r="B10" s="82" t="n">
        <v>65.42</v>
      </c>
      <c r="C10" s="82" t="n">
        <v>62.28</v>
      </c>
      <c r="D10" s="32" t="n"/>
    </row>
    <row r="11" ht="12" customHeight="1">
      <c r="A11" s="24" t="n">
        <v>49</v>
      </c>
      <c r="B11" s="82" t="n">
        <v>65.76000000000001</v>
      </c>
      <c r="C11" s="82" t="n">
        <v>62.64</v>
      </c>
      <c r="D11" s="32" t="n"/>
    </row>
    <row r="12" ht="12" customHeight="1">
      <c r="A12" s="24" t="n">
        <v>50</v>
      </c>
      <c r="B12" s="82" t="n">
        <v>66.09</v>
      </c>
      <c r="C12" s="82" t="n">
        <v>63</v>
      </c>
      <c r="D12" s="32" t="n"/>
    </row>
    <row r="13" ht="12" customHeight="1">
      <c r="A13" s="24" t="n">
        <v>51</v>
      </c>
      <c r="B13" s="82" t="n">
        <v>66.43000000000001</v>
      </c>
      <c r="C13" s="82" t="n">
        <v>63.36</v>
      </c>
      <c r="D13" s="32" t="n"/>
    </row>
    <row r="14" ht="12" customHeight="1">
      <c r="A14" s="24" t="n">
        <v>52</v>
      </c>
      <c r="B14" s="82" t="n">
        <v>66.77</v>
      </c>
      <c r="C14" s="82" t="n">
        <v>63.72</v>
      </c>
      <c r="D14" s="32" t="n"/>
    </row>
    <row r="15" ht="12" customHeight="1">
      <c r="A15" s="24" t="n">
        <v>53</v>
      </c>
      <c r="B15" s="82" t="n">
        <v>67.11</v>
      </c>
      <c r="C15" s="82" t="n">
        <v>64.08</v>
      </c>
      <c r="D15" s="32" t="n"/>
    </row>
    <row r="16" ht="12" customHeight="1">
      <c r="A16" s="24" t="n">
        <v>54</v>
      </c>
      <c r="B16" s="82" t="n">
        <v>67.45</v>
      </c>
      <c r="C16" s="82" t="n">
        <v>64.44</v>
      </c>
      <c r="D16" s="32" t="n"/>
    </row>
    <row r="17" ht="12" customHeight="1">
      <c r="A17" s="24" t="n">
        <v>55</v>
      </c>
      <c r="B17" s="82" t="n">
        <v>67.79000000000001</v>
      </c>
      <c r="C17" s="82" t="n">
        <v>64.8</v>
      </c>
    </row>
    <row r="18" ht="12" customHeight="1">
      <c r="A18" s="24" t="n">
        <v>56</v>
      </c>
      <c r="B18" s="82" t="n">
        <v>72.84</v>
      </c>
      <c r="C18" s="82" t="n">
        <v>69.41</v>
      </c>
    </row>
    <row r="19" ht="12" customHeight="1">
      <c r="A19" s="24" t="n">
        <v>57</v>
      </c>
      <c r="B19" s="82" t="n">
        <v>78.25</v>
      </c>
      <c r="C19" s="82" t="n">
        <v>74.34999999999999</v>
      </c>
    </row>
    <row r="20" ht="12" customHeight="1">
      <c r="A20" s="24" t="n">
        <v>58</v>
      </c>
      <c r="B20" s="82" t="n">
        <v>84.06999999999999</v>
      </c>
      <c r="C20" s="82" t="n">
        <v>79.64</v>
      </c>
    </row>
    <row r="21" ht="12" customHeight="1">
      <c r="A21" s="24" t="n">
        <v>59</v>
      </c>
      <c r="B21" s="82" t="n">
        <v>90.31999999999999</v>
      </c>
      <c r="C21" s="82" t="n">
        <v>85.3</v>
      </c>
    </row>
    <row r="22" ht="12" customHeight="1">
      <c r="A22" s="24" t="n">
        <v>60</v>
      </c>
      <c r="B22" s="82" t="n">
        <v>97.04000000000001</v>
      </c>
      <c r="C22" s="82" t="n">
        <v>91.37</v>
      </c>
    </row>
    <row r="23" ht="12" customHeight="1">
      <c r="A23" s="24" t="n">
        <v>61</v>
      </c>
      <c r="B23" s="82" t="n">
        <v>104.26</v>
      </c>
      <c r="C23" s="82" t="n">
        <v>97.87</v>
      </c>
    </row>
    <row r="24" ht="12" customHeight="1">
      <c r="A24" s="24" t="n">
        <v>62</v>
      </c>
      <c r="B24" s="82" t="n">
        <v>112.01</v>
      </c>
      <c r="C24" s="82" t="n">
        <v>104.84</v>
      </c>
    </row>
    <row r="25" ht="12" customHeight="1">
      <c r="A25" s="41" t="n">
        <v>63</v>
      </c>
      <c r="B25" s="86" t="n">
        <v>120.34</v>
      </c>
      <c r="C25" s="86" t="n">
        <v>112.3</v>
      </c>
    </row>
    <row r="26" ht="12" customHeight="1">
      <c r="A26" s="43" t="n">
        <v>64</v>
      </c>
      <c r="B26" s="82" t="n">
        <v>129.29</v>
      </c>
      <c r="C26" s="82" t="n">
        <v>120.29</v>
      </c>
    </row>
    <row r="27" ht="12" customHeight="1">
      <c r="A27" s="43" t="n">
        <v>65</v>
      </c>
      <c r="B27" s="82" t="n">
        <v>138.91</v>
      </c>
      <c r="C27" s="82" t="n">
        <v>128.85</v>
      </c>
    </row>
    <row r="28" ht="12" customHeight="1">
      <c r="A28" s="43" t="n">
        <v>66</v>
      </c>
      <c r="B28" s="82" t="n">
        <v>149.24</v>
      </c>
      <c r="C28" s="82" t="n">
        <v>138.01</v>
      </c>
    </row>
    <row r="29" ht="12" customHeight="1">
      <c r="A29" s="43" t="n">
        <v>67</v>
      </c>
      <c r="B29" s="82" t="n">
        <v>160.33</v>
      </c>
      <c r="C29" s="82" t="n">
        <v>147.83</v>
      </c>
    </row>
    <row r="30" ht="12" customHeight="1">
      <c r="A30" s="43" t="n">
        <v>68</v>
      </c>
      <c r="B30" s="82" t="n">
        <v>172.26</v>
      </c>
      <c r="C30" s="82" t="n">
        <v>158.35</v>
      </c>
    </row>
    <row r="31" ht="12" customHeight="1">
      <c r="A31" s="43" t="n">
        <v>69</v>
      </c>
      <c r="B31" s="82" t="n">
        <v>185.07</v>
      </c>
      <c r="C31" s="82" t="n">
        <v>169.62</v>
      </c>
    </row>
    <row r="32" ht="12" customHeight="1">
      <c r="A32" s="43" t="n">
        <v>70</v>
      </c>
      <c r="B32" s="82" t="n">
        <v>198.83</v>
      </c>
      <c r="C32" s="82" t="n">
        <v>181.68</v>
      </c>
    </row>
    <row r="33" ht="12" customHeight="1">
      <c r="A33" s="43" t="n">
        <v>71</v>
      </c>
      <c r="B33" s="82" t="n">
        <v>204.62</v>
      </c>
      <c r="C33" s="82" t="n">
        <v>190.86</v>
      </c>
    </row>
    <row r="34" ht="12" customHeight="1">
      <c r="A34" s="43" t="n">
        <v>72</v>
      </c>
      <c r="B34" s="82" t="n">
        <v>210.42</v>
      </c>
      <c r="C34" s="82" t="n">
        <v>200.04</v>
      </c>
    </row>
    <row r="35" ht="12" customHeight="1">
      <c r="A35" s="43" t="n">
        <v>73</v>
      </c>
      <c r="B35" s="82" t="n">
        <v>216.21</v>
      </c>
      <c r="C35" s="82" t="n">
        <v>209.22</v>
      </c>
    </row>
    <row r="36" ht="12" customHeight="1">
      <c r="A36" s="43" t="n">
        <v>74</v>
      </c>
      <c r="B36" s="82" t="n">
        <v>222</v>
      </c>
      <c r="C36" s="82" t="n">
        <v>218.4</v>
      </c>
    </row>
    <row r="37" ht="12" customHeight="1">
      <c r="A37" s="43" t="n">
        <v>75</v>
      </c>
      <c r="B37" s="82" t="n">
        <v>232.83</v>
      </c>
      <c r="C37" s="82" t="n">
        <v>229.05</v>
      </c>
    </row>
    <row r="38" ht="12" customHeight="1">
      <c r="A38" s="43" t="n">
        <v>76</v>
      </c>
      <c r="B38" s="82" t="n">
        <v>244.58</v>
      </c>
      <c r="C38" s="82" t="n">
        <v>240.61</v>
      </c>
    </row>
    <row r="39" ht="12" customHeight="1">
      <c r="A39" s="43" t="n">
        <v>77</v>
      </c>
      <c r="B39" s="82" t="n">
        <v>257.27</v>
      </c>
      <c r="C39" s="82" t="n">
        <v>253.1</v>
      </c>
    </row>
    <row r="40" ht="12" customHeight="1">
      <c r="A40" s="43" t="n">
        <v>78</v>
      </c>
      <c r="B40" s="82" t="n">
        <v>270.89</v>
      </c>
      <c r="C40" s="82" t="n">
        <v>266.5</v>
      </c>
    </row>
    <row r="41" ht="12" customHeight="1">
      <c r="A41" s="43" t="n">
        <v>79</v>
      </c>
      <c r="B41" s="82" t="n">
        <v>284.86</v>
      </c>
      <c r="C41" s="82" t="n">
        <v>280.23</v>
      </c>
    </row>
    <row r="42" ht="12" customHeight="1">
      <c r="A42" s="43" t="n">
        <v>80</v>
      </c>
      <c r="B42" s="82" t="n">
        <v>299.07</v>
      </c>
      <c r="C42" s="82" t="n">
        <v>294.21</v>
      </c>
    </row>
    <row r="43" ht="12" customHeight="1">
      <c r="A43" s="43" t="n">
        <v>81</v>
      </c>
      <c r="B43" s="82" t="n">
        <v>318.97</v>
      </c>
      <c r="C43" s="82" t="n">
        <v>318.97</v>
      </c>
    </row>
    <row r="44" ht="12" customHeight="1">
      <c r="A44" s="43" t="n">
        <v>82</v>
      </c>
      <c r="B44" s="82" t="n">
        <v>338.76</v>
      </c>
      <c r="C44" s="82" t="n">
        <v>338.76</v>
      </c>
    </row>
    <row r="45" ht="12" customHeight="1">
      <c r="A45" s="43" t="n">
        <v>83</v>
      </c>
      <c r="B45" s="82" t="n">
        <v>358.55</v>
      </c>
      <c r="C45" s="82" t="n">
        <v>358.55</v>
      </c>
    </row>
    <row r="46" ht="12" customHeight="1">
      <c r="A46" s="43" t="n">
        <v>84</v>
      </c>
      <c r="B46" s="82" t="n">
        <v>378.34</v>
      </c>
      <c r="C46" s="82" t="n">
        <v>378.34</v>
      </c>
    </row>
    <row r="47" ht="12" customHeight="1">
      <c r="A47" s="43" t="n">
        <v>85</v>
      </c>
      <c r="B47" s="82" t="n">
        <v>397.67</v>
      </c>
      <c r="C47" s="82" t="n">
        <v>397.67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ColWidth="12.5703125" defaultRowHeight="15" customHeight="1"/>
  <cols>
    <col width="8.140625" customWidth="1" style="32" min="1" max="1"/>
    <col width="12" customWidth="1" style="32" min="2" max="2"/>
    <col width="14.7109375" customWidth="1" style="32" min="3" max="3"/>
    <col width="9.140625" customWidth="1" style="32" min="4" max="7"/>
    <col width="8.5703125" customWidth="1" style="32" min="8" max="26"/>
  </cols>
  <sheetData>
    <row r="1" ht="12" customHeight="1">
      <c r="A1" s="27" t="inlineStr">
        <is>
          <t>Age</t>
        </is>
      </c>
      <c r="B1" s="44" t="inlineStr">
        <is>
          <t>Male</t>
        </is>
      </c>
      <c r="C1" s="27" t="inlineStr">
        <is>
          <t>Female</t>
        </is>
      </c>
    </row>
    <row r="2" ht="12" customHeight="1">
      <c r="A2" s="24" t="n">
        <v>40</v>
      </c>
      <c r="B2" s="82" t="n">
        <v>55</v>
      </c>
      <c r="C2" s="82" t="n">
        <v>40</v>
      </c>
    </row>
    <row r="3" ht="12" customHeight="1">
      <c r="A3" s="24" t="n">
        <v>41</v>
      </c>
      <c r="B3" s="82" t="n">
        <v>56</v>
      </c>
      <c r="C3" s="82" t="n">
        <v>40</v>
      </c>
    </row>
    <row r="4" ht="12" customHeight="1">
      <c r="A4" s="24" t="n">
        <v>42</v>
      </c>
      <c r="B4" s="82" t="n">
        <v>57</v>
      </c>
      <c r="C4" s="82" t="n">
        <v>40</v>
      </c>
    </row>
    <row r="5" ht="12" customHeight="1">
      <c r="A5" s="24" t="n">
        <v>43</v>
      </c>
      <c r="B5" s="82" t="n">
        <v>58</v>
      </c>
      <c r="C5" s="82" t="n">
        <v>40</v>
      </c>
    </row>
    <row r="6" ht="12" customHeight="1">
      <c r="A6" s="24" t="n">
        <v>44</v>
      </c>
      <c r="B6" s="82" t="n">
        <v>59</v>
      </c>
      <c r="C6" s="82" t="n">
        <v>40</v>
      </c>
    </row>
    <row r="7" ht="12" customHeight="1">
      <c r="A7" s="24" t="n">
        <v>45</v>
      </c>
      <c r="B7" s="82" t="n">
        <v>60</v>
      </c>
      <c r="C7" s="82" t="n">
        <v>40</v>
      </c>
    </row>
    <row r="8" ht="12" customHeight="1">
      <c r="A8" s="24" t="n">
        <v>46</v>
      </c>
      <c r="B8" s="82" t="n">
        <v>60</v>
      </c>
      <c r="C8" s="82" t="n">
        <v>40</v>
      </c>
    </row>
    <row r="9" ht="12" customHeight="1">
      <c r="A9" s="24" t="n">
        <v>47</v>
      </c>
      <c r="B9" s="82" t="n">
        <v>60</v>
      </c>
      <c r="C9" s="82" t="n">
        <v>40</v>
      </c>
    </row>
    <row r="10" ht="12" customHeight="1">
      <c r="A10" s="24" t="n">
        <v>48</v>
      </c>
      <c r="B10" s="82" t="n">
        <v>60</v>
      </c>
      <c r="C10" s="82" t="n">
        <v>40</v>
      </c>
    </row>
    <row r="11" ht="12" customHeight="1">
      <c r="A11" s="24" t="n">
        <v>49</v>
      </c>
      <c r="B11" s="82" t="n">
        <v>60</v>
      </c>
      <c r="C11" s="82" t="n">
        <v>40</v>
      </c>
    </row>
    <row r="12" ht="12" customHeight="1">
      <c r="A12" s="24" t="n">
        <v>50</v>
      </c>
      <c r="B12" s="82" t="n">
        <v>61</v>
      </c>
      <c r="C12" s="82" t="n">
        <v>41</v>
      </c>
    </row>
    <row r="13" ht="12" customHeight="1">
      <c r="A13" s="24" t="n">
        <v>51</v>
      </c>
      <c r="B13" s="82" t="n">
        <v>62</v>
      </c>
      <c r="C13" s="82" t="n">
        <v>42</v>
      </c>
    </row>
    <row r="14" ht="12" customHeight="1">
      <c r="A14" s="24" t="n">
        <v>52</v>
      </c>
      <c r="B14" s="82" t="n">
        <v>63</v>
      </c>
      <c r="C14" s="82" t="n">
        <v>44</v>
      </c>
    </row>
    <row r="15" ht="12" customHeight="1">
      <c r="A15" s="24" t="n">
        <v>53</v>
      </c>
      <c r="B15" s="82" t="n">
        <v>64</v>
      </c>
      <c r="C15" s="82" t="n">
        <v>46</v>
      </c>
    </row>
    <row r="16" ht="12" customHeight="1">
      <c r="A16" s="24" t="n">
        <v>54</v>
      </c>
      <c r="B16" s="82" t="n">
        <v>65</v>
      </c>
      <c r="C16" s="82" t="n">
        <v>49</v>
      </c>
    </row>
    <row r="17" ht="12" customHeight="1">
      <c r="A17" s="24" t="n">
        <v>55</v>
      </c>
      <c r="B17" s="82" t="n">
        <v>67</v>
      </c>
      <c r="C17" s="82" t="n">
        <v>51</v>
      </c>
    </row>
    <row r="18" ht="12" customHeight="1">
      <c r="A18" s="24" t="n">
        <v>56</v>
      </c>
      <c r="B18" s="82" t="n">
        <v>70</v>
      </c>
      <c r="C18" s="82" t="n">
        <v>53</v>
      </c>
    </row>
    <row r="19" ht="12" customHeight="1">
      <c r="A19" s="24" t="n">
        <v>57</v>
      </c>
      <c r="B19" s="82" t="n">
        <v>72</v>
      </c>
      <c r="C19" s="82" t="n">
        <v>55</v>
      </c>
    </row>
    <row r="20" ht="12" customHeight="1">
      <c r="A20" s="24" t="n">
        <v>58</v>
      </c>
      <c r="B20" s="82" t="n">
        <v>73</v>
      </c>
      <c r="C20" s="82" t="n">
        <v>56</v>
      </c>
    </row>
    <row r="21" ht="12" customHeight="1">
      <c r="A21" s="24" t="n">
        <v>59</v>
      </c>
      <c r="B21" s="82" t="n">
        <v>75</v>
      </c>
      <c r="C21" s="82" t="n">
        <v>58</v>
      </c>
    </row>
    <row r="22" ht="12" customHeight="1">
      <c r="A22" s="24" t="n">
        <v>60</v>
      </c>
      <c r="B22" s="82" t="n">
        <v>78</v>
      </c>
      <c r="C22" s="82" t="n">
        <v>60</v>
      </c>
    </row>
    <row r="23" ht="12" customHeight="1">
      <c r="A23" s="24" t="n">
        <v>61</v>
      </c>
      <c r="B23" s="82" t="n">
        <v>81</v>
      </c>
      <c r="C23" s="82" t="n">
        <v>63</v>
      </c>
    </row>
    <row r="24" ht="12" customHeight="1">
      <c r="A24" s="24" t="n">
        <v>62</v>
      </c>
      <c r="B24" s="82" t="n">
        <v>86</v>
      </c>
      <c r="C24" s="82" t="n">
        <v>66</v>
      </c>
    </row>
    <row r="25" ht="12" customHeight="1">
      <c r="A25" s="24" t="n">
        <v>63</v>
      </c>
      <c r="B25" s="82" t="n">
        <v>90</v>
      </c>
      <c r="C25" s="82" t="n">
        <v>70</v>
      </c>
    </row>
    <row r="26" ht="12" customHeight="1">
      <c r="A26" s="24" t="n">
        <v>64</v>
      </c>
      <c r="B26" s="82" t="n">
        <v>95</v>
      </c>
      <c r="C26" s="82" t="n">
        <v>72</v>
      </c>
    </row>
    <row r="27" ht="12" customHeight="1">
      <c r="A27" s="24" t="n">
        <v>65</v>
      </c>
      <c r="B27" s="82" t="n">
        <v>100</v>
      </c>
      <c r="C27" s="82" t="n">
        <v>73</v>
      </c>
    </row>
    <row r="28" ht="12" customHeight="1">
      <c r="A28" s="43" t="n">
        <v>66</v>
      </c>
      <c r="B28" s="82" t="n">
        <v>104</v>
      </c>
      <c r="C28" s="82" t="n">
        <v>77</v>
      </c>
    </row>
    <row r="29" ht="12" customHeight="1">
      <c r="A29" s="43" t="n">
        <v>67</v>
      </c>
      <c r="B29" s="82" t="n">
        <v>108</v>
      </c>
      <c r="C29" s="82" t="n">
        <v>80</v>
      </c>
    </row>
    <row r="30" ht="12" customHeight="1">
      <c r="A30" s="43" t="n">
        <v>68</v>
      </c>
      <c r="B30" s="82" t="n">
        <v>112</v>
      </c>
      <c r="C30" s="82" t="n">
        <v>83</v>
      </c>
    </row>
    <row r="31" ht="12" customHeight="1">
      <c r="A31" s="43" t="n">
        <v>69</v>
      </c>
      <c r="B31" s="82" t="n">
        <v>116</v>
      </c>
      <c r="C31" s="82" t="n">
        <v>86</v>
      </c>
    </row>
    <row r="32" ht="12" customHeight="1">
      <c r="A32" s="43" t="n">
        <v>70</v>
      </c>
      <c r="B32" s="82" t="n">
        <v>120</v>
      </c>
      <c r="C32" s="82" t="n">
        <v>90</v>
      </c>
    </row>
    <row r="33" ht="12" customHeight="1">
      <c r="A33" s="43" t="n">
        <v>71</v>
      </c>
      <c r="B33" s="82" t="n">
        <v>132</v>
      </c>
      <c r="C33" s="82" t="n">
        <v>98</v>
      </c>
    </row>
    <row r="34" ht="12" customHeight="1">
      <c r="A34" s="43" t="n">
        <v>72</v>
      </c>
      <c r="B34" s="82" t="n">
        <v>142</v>
      </c>
      <c r="C34" s="82" t="n">
        <v>107</v>
      </c>
    </row>
    <row r="35" ht="12" customHeight="1">
      <c r="A35" s="43" t="n">
        <v>73</v>
      </c>
      <c r="B35" s="82" t="n">
        <v>152</v>
      </c>
      <c r="C35" s="82" t="n">
        <v>115</v>
      </c>
    </row>
    <row r="36" ht="12" customHeight="1">
      <c r="A36" s="43" t="n">
        <v>74</v>
      </c>
      <c r="B36" s="82" t="n">
        <v>162</v>
      </c>
      <c r="C36" s="82" t="n">
        <v>124</v>
      </c>
    </row>
    <row r="37" ht="12" customHeight="1">
      <c r="A37" s="43" t="n">
        <v>75</v>
      </c>
      <c r="B37" s="82" t="n">
        <v>172</v>
      </c>
      <c r="C37" s="82" t="n">
        <v>132</v>
      </c>
    </row>
    <row r="38" ht="12" customHeight="1">
      <c r="A38" s="43" t="n">
        <v>76</v>
      </c>
      <c r="B38" s="82" t="n">
        <v>200</v>
      </c>
      <c r="C38" s="82" t="n">
        <v>150</v>
      </c>
    </row>
    <row r="39" ht="12" customHeight="1">
      <c r="A39" s="43" t="n">
        <v>77</v>
      </c>
      <c r="B39" s="82" t="n">
        <v>225</v>
      </c>
      <c r="C39" s="82" t="n">
        <v>170</v>
      </c>
    </row>
    <row r="40" ht="12" customHeight="1">
      <c r="A40" s="43" t="n">
        <v>78</v>
      </c>
      <c r="B40" s="82" t="n">
        <v>250</v>
      </c>
      <c r="C40" s="82" t="n">
        <v>190</v>
      </c>
    </row>
    <row r="41" ht="12" customHeight="1">
      <c r="A41" s="43" t="n">
        <v>79</v>
      </c>
      <c r="B41" s="82" t="n">
        <v>275</v>
      </c>
      <c r="C41" s="82" t="n">
        <v>200</v>
      </c>
    </row>
    <row r="42" ht="12" customHeight="1">
      <c r="A42" s="43" t="n">
        <v>80</v>
      </c>
      <c r="B42" s="82" t="n">
        <v>290</v>
      </c>
      <c r="C42" s="82" t="n">
        <v>210</v>
      </c>
    </row>
    <row r="43" ht="12" customHeight="1">
      <c r="A43" s="43" t="n">
        <v>81</v>
      </c>
      <c r="B43" s="82" t="n">
        <v>300</v>
      </c>
      <c r="C43" s="82" t="n">
        <v>220</v>
      </c>
    </row>
    <row r="44" ht="12" customHeight="1">
      <c r="A44" s="43" t="n">
        <v>82</v>
      </c>
      <c r="B44" s="82" t="n">
        <v>320</v>
      </c>
      <c r="C44" s="82" t="n">
        <v>230</v>
      </c>
    </row>
    <row r="45" ht="12" customHeight="1">
      <c r="A45" s="43" t="n">
        <v>83</v>
      </c>
      <c r="B45" s="82" t="n">
        <v>340</v>
      </c>
      <c r="C45" s="82" t="n">
        <v>240</v>
      </c>
    </row>
    <row r="46" ht="12" customHeight="1">
      <c r="A46" s="43" t="n">
        <v>84</v>
      </c>
      <c r="B46" s="82" t="n">
        <v>360</v>
      </c>
      <c r="C46" s="82" t="n">
        <v>250</v>
      </c>
    </row>
    <row r="47" ht="12" customHeight="1">
      <c r="A47" s="43" t="n">
        <v>85</v>
      </c>
      <c r="B47" s="82" t="n">
        <v>375</v>
      </c>
      <c r="C47" s="82" t="n">
        <v>260</v>
      </c>
    </row>
    <row r="48" ht="12" customHeight="1">
      <c r="A48" s="43" t="n">
        <v>86</v>
      </c>
      <c r="B48" s="82" t="n">
        <v>400</v>
      </c>
      <c r="C48" s="82" t="n">
        <v>280</v>
      </c>
    </row>
    <row r="49" ht="12" customHeight="1">
      <c r="A49" s="43" t="n">
        <v>87</v>
      </c>
      <c r="B49" s="82" t="n">
        <v>420</v>
      </c>
      <c r="C49" s="82" t="n">
        <v>300</v>
      </c>
    </row>
    <row r="50" ht="12" customHeight="1">
      <c r="A50" s="43" t="n">
        <v>88</v>
      </c>
      <c r="B50" s="82" t="n">
        <v>440</v>
      </c>
      <c r="C50" s="82" t="n">
        <v>330</v>
      </c>
    </row>
    <row r="51" ht="12" customHeight="1">
      <c r="A51" s="43" t="n">
        <v>89</v>
      </c>
      <c r="B51" s="82" t="n">
        <v>450</v>
      </c>
      <c r="C51" s="82" t="n">
        <v>360</v>
      </c>
    </row>
    <row r="52" ht="12" customHeight="1">
      <c r="A52" s="43" t="n">
        <v>90</v>
      </c>
      <c r="B52" s="82" t="n">
        <v>460</v>
      </c>
      <c r="C52" s="82" t="n">
        <v>400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16" min="1" max="1"/>
    <col width="16.140625" customWidth="1" style="32" min="2" max="2"/>
    <col width="16" customWidth="1" style="32" min="3" max="4"/>
    <col width="15.85546875" customWidth="1" style="32" min="5" max="5"/>
    <col width="9.140625" customWidth="1" style="32" min="6" max="6"/>
    <col width="8.5703125" customWidth="1" style="32" min="7" max="26"/>
  </cols>
  <sheetData>
    <row r="1" ht="13.5" customHeight="1">
      <c r="A1" s="27" t="inlineStr">
        <is>
          <t>Age</t>
        </is>
      </c>
      <c r="B1" s="45" t="inlineStr">
        <is>
          <t>Male Non-Smoker</t>
        </is>
      </c>
      <c r="C1" s="45" t="inlineStr">
        <is>
          <t>Male Smoker</t>
        </is>
      </c>
      <c r="D1" s="45" t="inlineStr">
        <is>
          <t>Female Non-Smoker</t>
        </is>
      </c>
      <c r="E1" s="46" t="inlineStr">
        <is>
          <t>Female Smoker</t>
        </is>
      </c>
    </row>
    <row r="2" ht="13.5" customHeight="1">
      <c r="A2" s="47" t="n">
        <v>18</v>
      </c>
      <c r="B2" s="48" t="n">
        <v>20.44</v>
      </c>
      <c r="C2" s="48" t="n">
        <v>24.37</v>
      </c>
      <c r="D2" s="48" t="n">
        <v>18.69</v>
      </c>
      <c r="E2" s="48" t="n">
        <v>19.25</v>
      </c>
    </row>
    <row r="3" ht="13.5" customHeight="1">
      <c r="A3" s="49" t="n">
        <v>19</v>
      </c>
      <c r="B3" s="48" t="n">
        <v>20.73</v>
      </c>
      <c r="C3" s="48" t="n">
        <v>25.33</v>
      </c>
      <c r="D3" s="48" t="n">
        <v>19</v>
      </c>
      <c r="E3" s="48" t="n">
        <v>20.06</v>
      </c>
    </row>
    <row r="4" ht="13.5" customHeight="1">
      <c r="A4" s="49" t="n">
        <v>20</v>
      </c>
      <c r="B4" s="48" t="n">
        <v>21.03</v>
      </c>
      <c r="C4" s="48" t="n">
        <v>26.31</v>
      </c>
      <c r="D4" s="48" t="n">
        <v>19.31</v>
      </c>
      <c r="E4" s="48" t="n">
        <v>20.89</v>
      </c>
    </row>
    <row r="5" ht="13.5" customHeight="1">
      <c r="A5" s="49" t="n">
        <v>21</v>
      </c>
      <c r="B5" s="48" t="n">
        <v>21.63</v>
      </c>
      <c r="C5" s="48" t="n">
        <v>27.23</v>
      </c>
      <c r="D5" s="48" t="n">
        <v>19.5</v>
      </c>
      <c r="E5" s="48" t="n">
        <v>21.57</v>
      </c>
    </row>
    <row r="6" ht="13.5" customHeight="1">
      <c r="A6" s="49" t="n">
        <v>22</v>
      </c>
      <c r="B6" s="48" t="n">
        <v>22.25</v>
      </c>
      <c r="C6" s="48" t="n">
        <v>28.17</v>
      </c>
      <c r="D6" s="48" t="n">
        <v>19.69</v>
      </c>
      <c r="E6" s="48" t="n">
        <v>22.27</v>
      </c>
    </row>
    <row r="7" ht="13.5" customHeight="1">
      <c r="A7" s="49" t="n">
        <v>23</v>
      </c>
      <c r="B7" s="48" t="n">
        <v>22.88</v>
      </c>
      <c r="C7" s="48" t="n">
        <v>29.15</v>
      </c>
      <c r="D7" s="48" t="n">
        <v>19.89</v>
      </c>
      <c r="E7" s="48" t="n">
        <v>22.99</v>
      </c>
    </row>
    <row r="8" ht="13.5" customHeight="1">
      <c r="A8" s="49" t="n">
        <v>24</v>
      </c>
      <c r="B8" s="48" t="n">
        <v>23.53</v>
      </c>
      <c r="C8" s="48" t="n">
        <v>30.17</v>
      </c>
      <c r="D8" s="48" t="n">
        <v>20.08</v>
      </c>
      <c r="E8" s="48" t="n">
        <v>23.74</v>
      </c>
    </row>
    <row r="9" ht="13.5" customHeight="1">
      <c r="A9" s="49" t="n">
        <v>25</v>
      </c>
      <c r="B9" s="48" t="n">
        <v>24.2</v>
      </c>
      <c r="C9" s="48" t="n">
        <v>31.22</v>
      </c>
      <c r="D9" s="48" t="n">
        <v>20.28</v>
      </c>
      <c r="E9" s="48" t="n">
        <v>24.51</v>
      </c>
    </row>
    <row r="10" ht="13.5" customHeight="1">
      <c r="A10" s="49" t="n">
        <v>26</v>
      </c>
      <c r="B10" s="48" t="n">
        <v>24.03</v>
      </c>
      <c r="C10" s="48" t="n">
        <v>31.19</v>
      </c>
      <c r="D10" s="48" t="n">
        <v>20.32</v>
      </c>
      <c r="E10" s="48" t="n">
        <v>24.97</v>
      </c>
    </row>
    <row r="11" ht="13.5" customHeight="1">
      <c r="A11" s="49" t="n">
        <v>27</v>
      </c>
      <c r="B11" s="48" t="n">
        <v>23.87</v>
      </c>
      <c r="C11" s="48" t="n">
        <v>31.16</v>
      </c>
      <c r="D11" s="48" t="n">
        <v>20.36</v>
      </c>
      <c r="E11" s="48" t="n">
        <v>25.44</v>
      </c>
    </row>
    <row r="12" ht="13.5" customHeight="1">
      <c r="A12" s="49" t="n">
        <v>28</v>
      </c>
      <c r="B12" s="48" t="n">
        <v>23.7</v>
      </c>
      <c r="C12" s="48" t="n">
        <v>31.14</v>
      </c>
      <c r="D12" s="48" t="n">
        <v>20.4</v>
      </c>
      <c r="E12" s="48" t="n">
        <v>25.91</v>
      </c>
    </row>
    <row r="13" ht="13.5" customHeight="1">
      <c r="A13" s="49" t="n">
        <v>29</v>
      </c>
      <c r="B13" s="48" t="n">
        <v>23.53</v>
      </c>
      <c r="C13" s="48" t="n">
        <v>31.11</v>
      </c>
      <c r="D13" s="48" t="n">
        <v>20.45</v>
      </c>
      <c r="E13" s="48" t="n">
        <v>26.4</v>
      </c>
    </row>
    <row r="14" ht="13.5" customHeight="1">
      <c r="A14" s="49" t="n">
        <v>30</v>
      </c>
      <c r="B14" s="48" t="n">
        <v>23.37</v>
      </c>
      <c r="C14" s="48" t="n">
        <v>31.09</v>
      </c>
      <c r="D14" s="48" t="n">
        <v>20.49</v>
      </c>
      <c r="E14" s="48" t="n">
        <v>26.9</v>
      </c>
    </row>
    <row r="15" ht="13.5" customHeight="1">
      <c r="A15" s="49" t="n">
        <v>31</v>
      </c>
      <c r="B15" s="48" t="n">
        <v>23.61</v>
      </c>
      <c r="C15" s="48" t="n">
        <v>31.85</v>
      </c>
      <c r="D15" s="48" t="n">
        <v>20.53</v>
      </c>
      <c r="E15" s="48" t="n">
        <v>27</v>
      </c>
    </row>
    <row r="16" ht="13.5" customHeight="1">
      <c r="A16" s="49" t="n">
        <v>32</v>
      </c>
      <c r="B16" s="48" t="n">
        <v>23.86</v>
      </c>
      <c r="C16" s="48" t="n">
        <v>32.64</v>
      </c>
      <c r="D16" s="48" t="n">
        <v>20.57</v>
      </c>
      <c r="E16" s="48" t="n">
        <v>27.1</v>
      </c>
    </row>
    <row r="17" ht="13.5" customHeight="1">
      <c r="A17" s="49" t="n">
        <v>33</v>
      </c>
      <c r="B17" s="48" t="n">
        <v>24.11</v>
      </c>
      <c r="C17" s="48" t="n">
        <v>33.44</v>
      </c>
      <c r="D17" s="48" t="n">
        <v>20.61</v>
      </c>
      <c r="E17" s="48" t="n">
        <v>27.2</v>
      </c>
    </row>
    <row r="18" ht="13.5" customHeight="1">
      <c r="A18" s="49" t="n">
        <v>34</v>
      </c>
      <c r="B18" s="48" t="n">
        <v>24.37</v>
      </c>
      <c r="C18" s="48" t="n">
        <v>34.27</v>
      </c>
      <c r="D18" s="48" t="n">
        <v>20.65</v>
      </c>
      <c r="E18" s="48" t="n">
        <v>27.3</v>
      </c>
    </row>
    <row r="19" ht="13.5" customHeight="1">
      <c r="A19" s="49" t="n">
        <v>35</v>
      </c>
      <c r="B19" s="48" t="n">
        <v>24.62</v>
      </c>
      <c r="C19" s="48" t="n">
        <v>35.11</v>
      </c>
      <c r="D19" s="48" t="n">
        <v>20.69</v>
      </c>
      <c r="E19" s="48" t="n">
        <v>27.4</v>
      </c>
    </row>
    <row r="20" ht="13.5" customHeight="1">
      <c r="A20" s="49" t="n">
        <v>36</v>
      </c>
      <c r="B20" s="48" t="n">
        <v>25.77</v>
      </c>
      <c r="C20" s="48" t="n">
        <v>36.96</v>
      </c>
      <c r="D20" s="48" t="n">
        <v>21.61</v>
      </c>
      <c r="E20" s="48" t="n">
        <v>28.73</v>
      </c>
    </row>
    <row r="21" ht="13.5" customHeight="1">
      <c r="A21" s="49" t="n">
        <v>37</v>
      </c>
      <c r="B21" s="48" t="n">
        <v>26.98</v>
      </c>
      <c r="C21" s="48" t="n">
        <v>38.9</v>
      </c>
      <c r="D21" s="48" t="n">
        <v>22.58</v>
      </c>
      <c r="E21" s="48" t="n">
        <v>30.13</v>
      </c>
    </row>
    <row r="22" ht="13.5" customHeight="1">
      <c r="A22" s="49" t="n">
        <v>38</v>
      </c>
      <c r="B22" s="48" t="n">
        <v>28.24</v>
      </c>
      <c r="C22" s="48" t="n">
        <v>40.94</v>
      </c>
      <c r="D22" s="48" t="n">
        <v>23.58</v>
      </c>
      <c r="E22" s="48" t="n">
        <v>31.59</v>
      </c>
    </row>
    <row r="23" ht="13.5" customHeight="1">
      <c r="A23" s="49" t="n">
        <v>39</v>
      </c>
      <c r="B23" s="48" t="n">
        <v>29.56</v>
      </c>
      <c r="C23" s="48" t="n">
        <v>43.08</v>
      </c>
      <c r="D23" s="48" t="n">
        <v>24.63</v>
      </c>
      <c r="E23" s="48" t="n">
        <v>33.13</v>
      </c>
    </row>
    <row r="24" ht="13.5" customHeight="1">
      <c r="A24" s="49" t="n">
        <v>40</v>
      </c>
      <c r="B24" s="48" t="n">
        <v>30.94</v>
      </c>
      <c r="C24" s="48" t="n">
        <v>45.34</v>
      </c>
      <c r="D24" s="48" t="n">
        <v>25.73</v>
      </c>
      <c r="E24" s="48" t="n">
        <v>34.74</v>
      </c>
    </row>
    <row r="25" ht="13.5" customHeight="1">
      <c r="A25" s="49" t="n">
        <v>41</v>
      </c>
      <c r="B25" s="48" t="n">
        <v>32.38</v>
      </c>
      <c r="C25" s="48" t="n">
        <v>47.72</v>
      </c>
      <c r="D25" s="48" t="n">
        <v>26.87</v>
      </c>
      <c r="E25" s="48" t="n">
        <v>36.43</v>
      </c>
    </row>
    <row r="26" ht="13.5" customHeight="1">
      <c r="A26" s="49" t="n">
        <v>42</v>
      </c>
      <c r="B26" s="48" t="n">
        <v>33.9</v>
      </c>
      <c r="C26" s="48" t="n">
        <v>50.23</v>
      </c>
      <c r="D26" s="48" t="n">
        <v>28.07</v>
      </c>
      <c r="E26" s="48" t="n">
        <v>38.2</v>
      </c>
    </row>
    <row r="27" ht="13.5" customHeight="1">
      <c r="A27" s="49" t="n">
        <v>43</v>
      </c>
      <c r="B27" s="48" t="n">
        <v>35.48</v>
      </c>
      <c r="C27" s="48" t="n">
        <v>52.86</v>
      </c>
      <c r="D27" s="48" t="n">
        <v>29.32</v>
      </c>
      <c r="E27" s="48" t="n">
        <v>40.06</v>
      </c>
    </row>
    <row r="28" ht="13.5" customHeight="1">
      <c r="A28" s="49" t="n">
        <v>44</v>
      </c>
      <c r="B28" s="48" t="n">
        <v>37.14</v>
      </c>
      <c r="C28" s="48" t="n">
        <v>55.64</v>
      </c>
      <c r="D28" s="48" t="n">
        <v>30.62</v>
      </c>
      <c r="E28" s="48" t="n">
        <v>42</v>
      </c>
    </row>
    <row r="29" ht="13.5" customHeight="1">
      <c r="A29" s="49" t="n">
        <v>45</v>
      </c>
      <c r="B29" s="48" t="n">
        <v>38.1</v>
      </c>
      <c r="C29" s="48" t="n">
        <v>58.55</v>
      </c>
      <c r="D29" s="48" t="n">
        <v>31.98</v>
      </c>
      <c r="E29" s="48" t="n">
        <v>44.05</v>
      </c>
    </row>
    <row r="30" ht="13.5" customHeight="1">
      <c r="A30" s="49" t="n">
        <v>46</v>
      </c>
      <c r="B30" s="48" t="n">
        <v>38.97</v>
      </c>
      <c r="C30" s="48" t="n">
        <v>60.05</v>
      </c>
      <c r="D30" s="48" t="n">
        <v>32.57</v>
      </c>
      <c r="E30" s="48" t="n">
        <v>45.07</v>
      </c>
    </row>
    <row r="31" ht="13.5" customHeight="1">
      <c r="A31" s="49" t="n">
        <v>47</v>
      </c>
      <c r="B31" s="48" t="n">
        <v>39.84</v>
      </c>
      <c r="C31" s="48" t="n">
        <v>61.5</v>
      </c>
      <c r="D31" s="48" t="n">
        <v>33.16</v>
      </c>
      <c r="E31" s="48" t="n">
        <v>46.11</v>
      </c>
    </row>
    <row r="32" ht="13.5" customHeight="1">
      <c r="A32" s="49" t="n">
        <v>48</v>
      </c>
      <c r="B32" s="48" t="n">
        <v>40.26</v>
      </c>
      <c r="C32" s="48" t="n">
        <v>62.32</v>
      </c>
      <c r="D32" s="48" t="n">
        <v>33.57</v>
      </c>
      <c r="E32" s="48" t="n">
        <v>46.75</v>
      </c>
    </row>
    <row r="33" ht="13.5" customHeight="1">
      <c r="A33" s="49" t="n">
        <v>49</v>
      </c>
      <c r="B33" s="48" t="n">
        <v>40.68</v>
      </c>
      <c r="C33" s="48" t="n">
        <v>63.15</v>
      </c>
      <c r="D33" s="48" t="n">
        <v>33.92</v>
      </c>
      <c r="E33" s="48" t="n">
        <v>47.18</v>
      </c>
    </row>
    <row r="34" ht="13.5" customHeight="1">
      <c r="A34" s="49" t="n">
        <v>50</v>
      </c>
      <c r="B34" s="48" t="n">
        <v>41.11</v>
      </c>
      <c r="C34" s="48" t="n">
        <v>63.95</v>
      </c>
      <c r="D34" s="48" t="n">
        <v>34.27</v>
      </c>
      <c r="E34" s="48" t="n">
        <v>47.63</v>
      </c>
    </row>
    <row r="35" ht="13.5" customHeight="1">
      <c r="A35" s="49" t="n">
        <v>51</v>
      </c>
      <c r="B35" s="48" t="n">
        <v>42.55</v>
      </c>
      <c r="C35" s="48" t="n">
        <v>65.95999999999999</v>
      </c>
      <c r="D35" s="48" t="n">
        <v>35.11</v>
      </c>
      <c r="E35" s="48" t="n">
        <v>49.12</v>
      </c>
    </row>
    <row r="36" ht="13.5" customHeight="1">
      <c r="A36" s="49" t="n">
        <v>52</v>
      </c>
      <c r="B36" s="48" t="n">
        <v>44.11</v>
      </c>
      <c r="C36" s="48" t="n">
        <v>68</v>
      </c>
      <c r="D36" s="48" t="n">
        <v>36.07</v>
      </c>
      <c r="E36" s="48" t="n">
        <v>50.66</v>
      </c>
    </row>
    <row r="37" ht="13.5" customHeight="1">
      <c r="A37" s="49" t="n">
        <v>53</v>
      </c>
      <c r="B37" s="48" t="n">
        <v>45.69</v>
      </c>
      <c r="C37" s="48" t="n">
        <v>71.42</v>
      </c>
      <c r="D37" s="48" t="n">
        <v>36.9</v>
      </c>
      <c r="E37" s="48" t="n">
        <v>52.9</v>
      </c>
    </row>
    <row r="38" ht="13.5" customHeight="1">
      <c r="A38" s="49" t="n">
        <v>54</v>
      </c>
      <c r="B38" s="48" t="n">
        <v>47.25</v>
      </c>
      <c r="C38" s="48" t="n">
        <v>73.44</v>
      </c>
      <c r="D38" s="48" t="n">
        <v>37.6</v>
      </c>
      <c r="E38" s="48" t="n">
        <v>54.13</v>
      </c>
    </row>
    <row r="39" ht="13.5" customHeight="1">
      <c r="A39" s="49" t="n">
        <v>55</v>
      </c>
      <c r="B39" s="48" t="n">
        <v>48.68</v>
      </c>
      <c r="C39" s="48" t="n">
        <v>75.31</v>
      </c>
      <c r="D39" s="48" t="n">
        <v>38.28</v>
      </c>
      <c r="E39" s="48" t="n">
        <v>55.39</v>
      </c>
    </row>
    <row r="40" ht="13.5" customHeight="1">
      <c r="A40" s="49" t="n">
        <v>56</v>
      </c>
      <c r="B40" s="48" t="n">
        <v>50.39</v>
      </c>
      <c r="C40" s="48" t="n">
        <v>79.27</v>
      </c>
      <c r="D40" s="48" t="n">
        <v>39.58</v>
      </c>
      <c r="E40" s="48" t="n">
        <v>57.84</v>
      </c>
    </row>
    <row r="41" ht="13.5" customHeight="1">
      <c r="A41" s="49" t="n">
        <v>57</v>
      </c>
      <c r="B41" s="48" t="n">
        <v>51.38</v>
      </c>
      <c r="C41" s="48" t="n">
        <v>83.44</v>
      </c>
      <c r="D41" s="48" t="n">
        <v>39.83</v>
      </c>
      <c r="E41" s="48" t="n">
        <v>60.4</v>
      </c>
    </row>
    <row r="42" ht="13.5" customHeight="1">
      <c r="A42" s="49" t="n">
        <v>58</v>
      </c>
      <c r="B42" s="48" t="n">
        <v>52.42</v>
      </c>
      <c r="C42" s="48" t="n">
        <v>87.83</v>
      </c>
      <c r="D42" s="48" t="n">
        <v>40.27</v>
      </c>
      <c r="E42" s="48" t="n">
        <v>63.08</v>
      </c>
    </row>
    <row r="43" ht="13.5" customHeight="1">
      <c r="A43" s="49" t="n">
        <v>59</v>
      </c>
      <c r="B43" s="48" t="n">
        <v>53.68</v>
      </c>
      <c r="C43" s="48" t="n">
        <v>92.44</v>
      </c>
      <c r="D43" s="48" t="n">
        <v>41.3</v>
      </c>
      <c r="E43" s="48" t="n">
        <v>65.88</v>
      </c>
    </row>
    <row r="44" ht="13.5" customHeight="1">
      <c r="A44" s="49" t="n">
        <v>60</v>
      </c>
      <c r="B44" s="48" t="n">
        <v>55.96</v>
      </c>
      <c r="C44" s="48" t="n">
        <v>97.3</v>
      </c>
      <c r="D44" s="48" t="n">
        <v>43.38</v>
      </c>
      <c r="E44" s="48" t="n">
        <v>68.8</v>
      </c>
    </row>
    <row r="45" ht="13.5" customHeight="1">
      <c r="A45" s="49" t="n">
        <v>61</v>
      </c>
      <c r="B45" s="48" t="n">
        <v>58.43</v>
      </c>
      <c r="C45" s="48" t="n">
        <v>102.41</v>
      </c>
      <c r="D45" s="48" t="n">
        <v>46.64</v>
      </c>
      <c r="E45" s="48" t="n">
        <v>71.84999999999999</v>
      </c>
    </row>
    <row r="46" ht="13.5" customHeight="1">
      <c r="A46" s="49" t="n">
        <v>62</v>
      </c>
      <c r="B46" s="48" t="n">
        <v>62.15</v>
      </c>
      <c r="C46" s="48" t="n">
        <v>107.8</v>
      </c>
      <c r="D46" s="48" t="n">
        <v>49.92</v>
      </c>
      <c r="E46" s="48" t="n">
        <v>75.03</v>
      </c>
    </row>
    <row r="47" ht="13.5" customHeight="1">
      <c r="A47" s="49" t="n">
        <v>63</v>
      </c>
      <c r="B47" s="48" t="n">
        <v>64.62</v>
      </c>
      <c r="C47" s="48" t="n">
        <v>113.46</v>
      </c>
      <c r="D47" s="48" t="n">
        <v>52.45</v>
      </c>
      <c r="E47" s="48" t="n">
        <v>78.36</v>
      </c>
    </row>
    <row r="48" ht="13.5" customHeight="1">
      <c r="A48" s="49" t="n">
        <v>64</v>
      </c>
      <c r="B48" s="48" t="n">
        <v>68</v>
      </c>
      <c r="C48" s="48" t="n">
        <v>119.43</v>
      </c>
      <c r="D48" s="48" t="n">
        <v>54.8</v>
      </c>
      <c r="E48" s="48" t="n">
        <v>81.83</v>
      </c>
    </row>
    <row r="49" ht="13.5" customHeight="1">
      <c r="A49" s="49" t="n">
        <v>65</v>
      </c>
      <c r="B49" s="48" t="n">
        <v>70.69</v>
      </c>
      <c r="C49" s="48" t="n">
        <v>125.7</v>
      </c>
      <c r="D49" s="48" t="n">
        <v>55.78</v>
      </c>
      <c r="E49" s="48" t="n">
        <v>85.45</v>
      </c>
    </row>
    <row r="50" ht="13.5" customHeight="1">
      <c r="A50" s="49" t="n">
        <v>66</v>
      </c>
      <c r="B50" s="48" t="n">
        <v>74.86</v>
      </c>
      <c r="C50" s="48" t="n">
        <v>133.01</v>
      </c>
      <c r="D50" s="48" t="n">
        <v>59.54</v>
      </c>
      <c r="E50" s="48" t="n">
        <v>90.56</v>
      </c>
    </row>
    <row r="51" ht="13.5" customHeight="1">
      <c r="A51" s="49" t="n">
        <v>67</v>
      </c>
      <c r="B51" s="48" t="n">
        <v>79.78</v>
      </c>
      <c r="C51" s="48" t="n">
        <v>140.75</v>
      </c>
      <c r="D51" s="48" t="n">
        <v>62.27</v>
      </c>
      <c r="E51" s="48" t="n">
        <v>95.98</v>
      </c>
    </row>
    <row r="52" ht="13.5" customHeight="1">
      <c r="A52" s="49" t="n">
        <v>68</v>
      </c>
      <c r="B52" s="48" t="n">
        <v>84.67</v>
      </c>
      <c r="C52" s="48" t="n">
        <v>148.93</v>
      </c>
      <c r="D52" s="48" t="n">
        <v>65.48999999999999</v>
      </c>
      <c r="E52" s="48" t="n">
        <v>101.72</v>
      </c>
    </row>
    <row r="53" ht="13.5" customHeight="1">
      <c r="A53" s="49" t="n">
        <v>69</v>
      </c>
      <c r="B53" s="48" t="n">
        <v>89.56999999999999</v>
      </c>
      <c r="C53" s="48" t="n">
        <v>157.59</v>
      </c>
      <c r="D53" s="48" t="n">
        <v>68.19</v>
      </c>
      <c r="E53" s="48" t="n">
        <v>107.8</v>
      </c>
    </row>
    <row r="54" ht="13.5" customHeight="1">
      <c r="A54" s="49" t="n">
        <v>70</v>
      </c>
      <c r="B54" s="48" t="n">
        <v>95.88</v>
      </c>
      <c r="C54" s="48" t="n">
        <v>166.76</v>
      </c>
      <c r="D54" s="48" t="n">
        <v>71.58</v>
      </c>
      <c r="E54" s="48" t="n">
        <v>112.81</v>
      </c>
    </row>
    <row r="55" ht="13.5" customHeight="1">
      <c r="A55" s="49" t="n">
        <v>71</v>
      </c>
      <c r="B55" s="48" t="n">
        <v>101.83</v>
      </c>
      <c r="C55" s="48" t="n">
        <v>176.45</v>
      </c>
      <c r="D55" s="48" t="n">
        <v>76.38</v>
      </c>
      <c r="E55" s="48" t="n">
        <v>120.59</v>
      </c>
    </row>
    <row r="56" ht="13.5" customHeight="1">
      <c r="A56" s="49" t="n">
        <v>72</v>
      </c>
      <c r="B56" s="48" t="n">
        <v>109.18</v>
      </c>
      <c r="C56" s="48" t="n">
        <v>186.71</v>
      </c>
      <c r="D56" s="48" t="n">
        <v>80.03</v>
      </c>
      <c r="E56" s="48" t="n">
        <v>128.32</v>
      </c>
    </row>
    <row r="57" ht="13.5" customHeight="1">
      <c r="A57" s="49" t="n">
        <v>73</v>
      </c>
      <c r="B57" s="48" t="n">
        <v>116.53</v>
      </c>
      <c r="C57" s="48" t="n">
        <v>197.57</v>
      </c>
      <c r="D57" s="48" t="n">
        <v>85.97</v>
      </c>
      <c r="E57" s="48" t="n">
        <v>135.99</v>
      </c>
    </row>
    <row r="58" ht="13.5" customHeight="1">
      <c r="A58" s="49" t="n">
        <v>74</v>
      </c>
      <c r="B58" s="48" t="n">
        <v>123.89</v>
      </c>
      <c r="C58" s="48" t="n">
        <v>209.06</v>
      </c>
      <c r="D58" s="48" t="n">
        <v>90.72</v>
      </c>
      <c r="E58" s="48" t="n">
        <v>144.12</v>
      </c>
    </row>
    <row r="59" ht="13.5" customHeight="1">
      <c r="A59" s="49" t="n">
        <v>75</v>
      </c>
      <c r="B59" s="48" t="n">
        <v>131.96</v>
      </c>
      <c r="C59" s="48" t="n">
        <v>221.22</v>
      </c>
      <c r="D59" s="48" t="n">
        <v>95.67</v>
      </c>
      <c r="E59" s="48" t="n">
        <v>152.74</v>
      </c>
    </row>
    <row r="60" ht="13.5" customHeight="1">
      <c r="A60" s="49" t="n">
        <v>76</v>
      </c>
      <c r="B60" s="48" t="n">
        <v>144.8</v>
      </c>
      <c r="C60" s="48" t="n">
        <v>236.27</v>
      </c>
      <c r="D60" s="48" t="n">
        <v>106.97</v>
      </c>
      <c r="E60" s="48" t="n">
        <v>164.44</v>
      </c>
    </row>
    <row r="61" ht="13.5" customHeight="1">
      <c r="A61" s="49" t="n">
        <v>77</v>
      </c>
      <c r="B61" s="48" t="n">
        <v>157.11</v>
      </c>
      <c r="C61" s="48" t="n">
        <v>252.34</v>
      </c>
      <c r="D61" s="48" t="n">
        <v>117.59</v>
      </c>
      <c r="E61" s="48" t="n">
        <v>177.04</v>
      </c>
    </row>
    <row r="62" ht="13.5" customHeight="1">
      <c r="A62" s="49" t="n">
        <v>78</v>
      </c>
      <c r="B62" s="48" t="n">
        <v>169.53</v>
      </c>
      <c r="C62" s="48" t="n">
        <v>269.51</v>
      </c>
      <c r="D62" s="48" t="n">
        <v>128.54</v>
      </c>
      <c r="E62" s="48" t="n">
        <v>190.6</v>
      </c>
    </row>
    <row r="63" ht="13.5" customHeight="1">
      <c r="A63" s="49" t="n">
        <v>79</v>
      </c>
      <c r="B63" s="48" t="n">
        <v>182.27</v>
      </c>
      <c r="C63" s="48" t="n">
        <v>287.85</v>
      </c>
      <c r="D63" s="48" t="n">
        <v>139.83</v>
      </c>
      <c r="E63" s="48" t="n">
        <v>205.2</v>
      </c>
    </row>
    <row r="64" ht="13.5" customHeight="1">
      <c r="A64" s="49" t="n">
        <v>80</v>
      </c>
      <c r="B64" s="48" t="n">
        <v>196.15</v>
      </c>
      <c r="C64" s="48" t="n">
        <v>307.44</v>
      </c>
      <c r="D64" s="48" t="n">
        <v>151.99</v>
      </c>
      <c r="E64" s="48" t="n">
        <v>220.92</v>
      </c>
    </row>
    <row r="65" ht="13.5" customHeight="1">
      <c r="A65" s="49" t="n">
        <v>81</v>
      </c>
      <c r="B65" s="48" t="n">
        <v>210.78</v>
      </c>
      <c r="C65" s="48" t="n">
        <v>328.36</v>
      </c>
      <c r="D65" s="48" t="n">
        <v>164.52</v>
      </c>
      <c r="E65" s="48" t="n">
        <v>237.84</v>
      </c>
    </row>
    <row r="66" ht="13.5" customHeight="1">
      <c r="A66" s="49" t="n">
        <v>82</v>
      </c>
      <c r="B66" s="48" t="n">
        <v>227.78</v>
      </c>
      <c r="C66" s="48" t="n">
        <v>350.7</v>
      </c>
      <c r="D66" s="48" t="n">
        <v>179.81</v>
      </c>
      <c r="E66" s="48" t="n">
        <v>256.06</v>
      </c>
    </row>
    <row r="67" ht="13.5" customHeight="1">
      <c r="A67" s="49" t="n">
        <v>83</v>
      </c>
      <c r="B67" s="48" t="n">
        <v>246.16</v>
      </c>
      <c r="C67" s="48" t="n">
        <v>374.56</v>
      </c>
      <c r="D67" s="48" t="n">
        <v>196.52</v>
      </c>
      <c r="E67" s="48" t="n">
        <v>275.67</v>
      </c>
    </row>
    <row r="68" ht="13.5" customHeight="1">
      <c r="A68" s="49" t="n">
        <v>84</v>
      </c>
      <c r="B68" s="48" t="n">
        <v>266.01</v>
      </c>
      <c r="C68" s="48" t="n">
        <v>400.05</v>
      </c>
      <c r="D68" s="48" t="n">
        <v>214.78</v>
      </c>
      <c r="E68" s="48" t="n">
        <v>296.79</v>
      </c>
    </row>
    <row r="69" ht="13.5" customHeight="1">
      <c r="A69" s="49" t="n">
        <v>85</v>
      </c>
      <c r="B69" s="48" t="n">
        <v>287.46</v>
      </c>
      <c r="C69" s="48" t="n">
        <v>427.27</v>
      </c>
      <c r="D69" s="48" t="n">
        <v>233.96</v>
      </c>
      <c r="E69" s="48" t="n">
        <v>319.53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ColWidth="12.5703125" defaultRowHeight="15" customHeight="1"/>
  <cols>
    <col width="11.28515625" customWidth="1" style="52" min="1" max="1"/>
    <col width="16.5703125" customWidth="1" style="52" min="2" max="26"/>
  </cols>
  <sheetData>
    <row r="1" ht="12" customHeight="1">
      <c r="A1" s="50" t="inlineStr">
        <is>
          <t>Age</t>
        </is>
      </c>
      <c r="B1" s="51" t="inlineStr">
        <is>
          <t>Male Non-Smoker</t>
        </is>
      </c>
      <c r="C1" s="51" t="inlineStr">
        <is>
          <t>Female Non-Smoker</t>
        </is>
      </c>
      <c r="D1" s="51" t="inlineStr">
        <is>
          <t>Male Smoker</t>
        </is>
      </c>
      <c r="E1" s="51" t="inlineStr">
        <is>
          <t>Female Smoker</t>
        </is>
      </c>
    </row>
    <row r="2" ht="12" customHeight="1">
      <c r="A2" s="53" t="n">
        <v>18</v>
      </c>
      <c r="B2" s="48" t="n">
        <v>27.21</v>
      </c>
      <c r="C2" s="48" t="n">
        <v>24.3</v>
      </c>
      <c r="D2" s="48" t="n">
        <v>31.68</v>
      </c>
      <c r="E2" s="48" t="n">
        <v>25.05</v>
      </c>
    </row>
    <row r="3" ht="12" customHeight="1">
      <c r="A3" s="53" t="n">
        <v>19</v>
      </c>
      <c r="B3" s="48" t="n">
        <v>27.27</v>
      </c>
      <c r="C3" s="48" t="n">
        <v>24.7</v>
      </c>
      <c r="D3" s="48" t="n">
        <v>32.93</v>
      </c>
      <c r="E3" s="48" t="n">
        <v>26.08</v>
      </c>
    </row>
    <row r="4" ht="12" customHeight="1">
      <c r="A4" s="53" t="n">
        <v>20</v>
      </c>
      <c r="B4" s="48" t="n">
        <v>27.34</v>
      </c>
      <c r="C4" s="48" t="n">
        <v>25.1</v>
      </c>
      <c r="D4" s="48" t="n">
        <v>34.2</v>
      </c>
      <c r="E4" s="48" t="n">
        <v>27.89</v>
      </c>
    </row>
    <row r="5" ht="12" customHeight="1">
      <c r="A5" s="53" t="n">
        <v>21</v>
      </c>
      <c r="B5" s="48" t="n">
        <v>28.12</v>
      </c>
      <c r="C5" s="48" t="n">
        <v>25.35</v>
      </c>
      <c r="D5" s="48" t="n">
        <v>35.4</v>
      </c>
      <c r="E5" s="48" t="n">
        <v>28.68</v>
      </c>
    </row>
    <row r="6" ht="12" customHeight="1">
      <c r="A6" s="53" t="n">
        <v>22</v>
      </c>
      <c r="B6" s="48" t="n">
        <v>28.93</v>
      </c>
      <c r="C6" s="48" t="n">
        <v>25.6</v>
      </c>
      <c r="D6" s="48" t="n">
        <v>36.62</v>
      </c>
      <c r="E6" s="48" t="n">
        <v>29.1</v>
      </c>
    </row>
    <row r="7" ht="12" customHeight="1">
      <c r="A7" s="53" t="n">
        <v>23</v>
      </c>
      <c r="B7" s="48" t="n">
        <v>29.74</v>
      </c>
      <c r="C7" s="48" t="n">
        <v>25.86</v>
      </c>
      <c r="D7" s="48" t="n">
        <v>37.9</v>
      </c>
      <c r="E7" s="48" t="n">
        <v>29.89</v>
      </c>
    </row>
    <row r="8" ht="12" customHeight="1">
      <c r="A8" s="53" t="n">
        <v>24</v>
      </c>
      <c r="B8" s="48" t="n">
        <v>30.59</v>
      </c>
      <c r="C8" s="48" t="n">
        <v>26.1</v>
      </c>
      <c r="D8" s="48" t="n">
        <v>39.22</v>
      </c>
      <c r="E8" s="48" t="n">
        <v>30.86</v>
      </c>
    </row>
    <row r="9" ht="12" customHeight="1">
      <c r="A9" s="53" t="n">
        <v>25</v>
      </c>
      <c r="B9" s="48" t="n">
        <v>30.92</v>
      </c>
      <c r="C9" s="48" t="n">
        <v>26.36</v>
      </c>
      <c r="D9" s="48" t="n">
        <v>39.89</v>
      </c>
      <c r="E9" s="48" t="n">
        <v>31.86</v>
      </c>
    </row>
    <row r="10" ht="12" customHeight="1">
      <c r="A10" s="53" t="n">
        <v>26</v>
      </c>
      <c r="B10" s="48" t="n">
        <v>31.24</v>
      </c>
      <c r="C10" s="48" t="n">
        <v>26.42</v>
      </c>
      <c r="D10" s="48" t="n">
        <v>40.55</v>
      </c>
      <c r="E10" s="48" t="n">
        <v>32.46</v>
      </c>
    </row>
    <row r="11" ht="12" customHeight="1">
      <c r="A11" s="53" t="n">
        <v>27</v>
      </c>
      <c r="B11" s="48" t="n">
        <v>31.31</v>
      </c>
      <c r="C11" s="48" t="n">
        <v>26.47</v>
      </c>
      <c r="D11" s="48" t="n">
        <v>40.62</v>
      </c>
      <c r="E11" s="48" t="n">
        <v>33.07</v>
      </c>
    </row>
    <row r="12" ht="12" customHeight="1">
      <c r="A12" s="53" t="n">
        <v>28</v>
      </c>
      <c r="B12" s="48" t="n">
        <v>31.39</v>
      </c>
      <c r="C12" s="48" t="n">
        <v>26.52</v>
      </c>
      <c r="D12" s="48" t="n">
        <v>40.7</v>
      </c>
      <c r="E12" s="48" t="n">
        <v>33.68</v>
      </c>
    </row>
    <row r="13" ht="12" customHeight="1">
      <c r="A13" s="53" t="n">
        <v>29</v>
      </c>
      <c r="B13" s="48" t="n">
        <v>31.48</v>
      </c>
      <c r="C13" s="48" t="n">
        <v>26.59</v>
      </c>
      <c r="D13" s="48" t="n">
        <v>40.79</v>
      </c>
      <c r="E13" s="48" t="n">
        <v>34.32</v>
      </c>
    </row>
    <row r="14" ht="12" customHeight="1">
      <c r="A14" s="53" t="n">
        <v>30</v>
      </c>
      <c r="B14" s="48" t="n">
        <v>31.58</v>
      </c>
      <c r="C14" s="48" t="n">
        <v>26.64</v>
      </c>
      <c r="D14" s="48" t="n">
        <v>40.89</v>
      </c>
      <c r="E14" s="48" t="n">
        <v>34.97</v>
      </c>
    </row>
    <row r="15" ht="12" customHeight="1">
      <c r="A15" s="53" t="n">
        <v>31</v>
      </c>
      <c r="B15" s="48" t="n">
        <v>31.69</v>
      </c>
      <c r="C15" s="48" t="n">
        <v>27.36</v>
      </c>
      <c r="D15" s="48" t="n">
        <v>41.41</v>
      </c>
      <c r="E15" s="48" t="n">
        <v>35.1</v>
      </c>
    </row>
    <row r="16" ht="12" customHeight="1">
      <c r="A16" s="53" t="n">
        <v>32</v>
      </c>
      <c r="B16" s="48" t="n">
        <v>31.81</v>
      </c>
      <c r="C16" s="48" t="n">
        <v>28.18</v>
      </c>
      <c r="D16" s="48" t="n">
        <v>42.43</v>
      </c>
      <c r="E16" s="48" t="n">
        <v>35.23</v>
      </c>
    </row>
    <row r="17" ht="12" customHeight="1">
      <c r="A17" s="53" t="n">
        <v>33</v>
      </c>
      <c r="B17" s="48" t="n">
        <v>32.03</v>
      </c>
      <c r="C17" s="48" t="n">
        <v>29.02</v>
      </c>
      <c r="D17" s="48" t="n">
        <v>43.47</v>
      </c>
      <c r="E17" s="48" t="n">
        <v>35.36</v>
      </c>
    </row>
    <row r="18" ht="12" customHeight="1">
      <c r="A18" s="53" t="n">
        <v>34</v>
      </c>
      <c r="B18" s="48" t="n">
        <v>32.71</v>
      </c>
      <c r="C18" s="48" t="n">
        <v>29.66</v>
      </c>
      <c r="D18" s="48" t="n">
        <v>44.55</v>
      </c>
      <c r="E18" s="48" t="n">
        <v>35.49</v>
      </c>
    </row>
    <row r="19" ht="12" customHeight="1">
      <c r="A19" s="53" t="n">
        <v>35</v>
      </c>
      <c r="B19" s="48" t="n">
        <v>33.22</v>
      </c>
      <c r="C19" s="48" t="n">
        <v>30.16</v>
      </c>
      <c r="D19" s="48" t="n">
        <v>45.64</v>
      </c>
      <c r="E19" s="48" t="n">
        <v>35.62</v>
      </c>
    </row>
    <row r="20" ht="12" customHeight="1">
      <c r="A20" s="53" t="n">
        <v>36</v>
      </c>
      <c r="B20" s="48" t="n">
        <v>34.48</v>
      </c>
      <c r="C20" s="48" t="n">
        <v>31.43</v>
      </c>
      <c r="D20" s="48" t="n">
        <v>48.05</v>
      </c>
      <c r="E20" s="48" t="n">
        <v>37.35</v>
      </c>
    </row>
    <row r="21" ht="12" customHeight="1">
      <c r="A21" s="53" t="n">
        <v>37</v>
      </c>
      <c r="B21" s="48" t="n">
        <v>35.53</v>
      </c>
      <c r="C21" s="48" t="n">
        <v>32.48</v>
      </c>
      <c r="D21" s="48" t="n">
        <v>50.57</v>
      </c>
      <c r="E21" s="48" t="n">
        <v>39.17</v>
      </c>
    </row>
    <row r="22" ht="12" customHeight="1">
      <c r="A22" s="53" t="n">
        <v>38</v>
      </c>
      <c r="B22" s="48" t="n">
        <v>36.71</v>
      </c>
      <c r="C22" s="48" t="n">
        <v>33.48</v>
      </c>
      <c r="D22" s="48" t="n">
        <v>53.22</v>
      </c>
      <c r="E22" s="48" t="n">
        <v>41.07</v>
      </c>
    </row>
    <row r="23" ht="12" customHeight="1">
      <c r="A23" s="53" t="n">
        <v>39</v>
      </c>
      <c r="B23" s="48" t="n">
        <v>38.43</v>
      </c>
      <c r="C23" s="48" t="n">
        <v>34.45</v>
      </c>
      <c r="D23" s="48" t="n">
        <v>56</v>
      </c>
      <c r="E23" s="48" t="n">
        <v>43.07</v>
      </c>
    </row>
    <row r="24" ht="12" customHeight="1">
      <c r="A24" s="53" t="n">
        <v>40</v>
      </c>
      <c r="B24" s="48" t="n">
        <v>40.22</v>
      </c>
      <c r="C24" s="48" t="n">
        <v>35.33</v>
      </c>
      <c r="D24" s="48" t="n">
        <v>58.94</v>
      </c>
      <c r="E24" s="48" t="n">
        <v>45.16</v>
      </c>
    </row>
    <row r="25" ht="12" customHeight="1">
      <c r="A25" s="53" t="n">
        <v>41</v>
      </c>
      <c r="B25" s="48" t="n">
        <v>42.09</v>
      </c>
      <c r="C25" s="48" t="n">
        <v>36.99</v>
      </c>
      <c r="D25" s="48" t="n">
        <v>62.04</v>
      </c>
      <c r="E25" s="48" t="n">
        <v>47.36</v>
      </c>
    </row>
    <row r="26" ht="12" customHeight="1">
      <c r="A26" s="53" t="n">
        <v>42</v>
      </c>
      <c r="B26" s="48" t="n">
        <v>44.07</v>
      </c>
      <c r="C26" s="48" t="n">
        <v>38.68</v>
      </c>
      <c r="D26" s="48" t="n">
        <v>65.3</v>
      </c>
      <c r="E26" s="48" t="n">
        <v>49.66</v>
      </c>
    </row>
    <row r="27" ht="12" customHeight="1">
      <c r="A27" s="53" t="n">
        <v>43</v>
      </c>
      <c r="B27" s="48" t="n">
        <v>46.12</v>
      </c>
      <c r="C27" s="48" t="n">
        <v>40.48</v>
      </c>
      <c r="D27" s="48" t="n">
        <v>68.72</v>
      </c>
      <c r="E27" s="48" t="n">
        <v>52.08</v>
      </c>
    </row>
    <row r="28" ht="12" customHeight="1">
      <c r="A28" s="53" t="n">
        <v>44</v>
      </c>
      <c r="B28" s="48" t="n">
        <v>48.28</v>
      </c>
      <c r="C28" s="48" t="n">
        <v>42.44</v>
      </c>
      <c r="D28" s="48" t="n">
        <v>72.33</v>
      </c>
      <c r="E28" s="48" t="n">
        <v>54.6</v>
      </c>
    </row>
    <row r="29" ht="12" customHeight="1">
      <c r="A29" s="53" t="n">
        <v>45</v>
      </c>
      <c r="B29" s="48" t="n">
        <v>51.81</v>
      </c>
      <c r="C29" s="48" t="n">
        <v>48.51</v>
      </c>
      <c r="D29" s="48" t="n">
        <v>76.12</v>
      </c>
      <c r="E29" s="48" t="n">
        <v>57.27</v>
      </c>
    </row>
    <row r="30" ht="12" customHeight="1">
      <c r="A30" s="54" t="n">
        <v>46</v>
      </c>
      <c r="B30" s="48" t="n">
        <v>56.8</v>
      </c>
      <c r="C30" s="48" t="n">
        <v>52.95</v>
      </c>
      <c r="D30" s="48" t="n">
        <v>78.06999999999999</v>
      </c>
      <c r="E30" s="48" t="n">
        <v>58.91</v>
      </c>
    </row>
    <row r="31" ht="12" customHeight="1">
      <c r="A31" s="53" t="n">
        <v>47</v>
      </c>
      <c r="B31" s="48" t="n">
        <v>56.3</v>
      </c>
      <c r="C31" s="48" t="n">
        <v>62.54</v>
      </c>
      <c r="D31" s="48" t="n">
        <v>58.2</v>
      </c>
      <c r="E31" s="48" t="n">
        <v>79.95</v>
      </c>
    </row>
    <row r="32" ht="12" customHeight="1">
      <c r="A32" s="53" t="n">
        <v>48</v>
      </c>
      <c r="B32" s="48" t="n">
        <v>59.95</v>
      </c>
      <c r="C32" s="48" t="n">
        <v>66.48</v>
      </c>
      <c r="D32" s="48" t="n">
        <v>59.72</v>
      </c>
      <c r="E32" s="48" t="n">
        <v>81.02</v>
      </c>
    </row>
    <row r="33" ht="12" customHeight="1">
      <c r="A33" s="53" t="n">
        <v>49</v>
      </c>
      <c r="B33" s="48" t="n">
        <v>62.93</v>
      </c>
      <c r="C33" s="48" t="n">
        <v>66.67</v>
      </c>
      <c r="D33" s="48" t="n">
        <v>61.13</v>
      </c>
      <c r="E33" s="48" t="n">
        <v>82.09999999999999</v>
      </c>
    </row>
    <row r="34" ht="12" customHeight="1">
      <c r="A34" s="53" t="n">
        <v>50</v>
      </c>
      <c r="B34" s="48" t="n">
        <v>63.06</v>
      </c>
      <c r="C34" s="48" t="n">
        <v>67.53</v>
      </c>
      <c r="D34" s="48" t="n">
        <v>61.91</v>
      </c>
      <c r="E34" s="48" t="n">
        <v>83.14</v>
      </c>
    </row>
    <row r="35" ht="12" customHeight="1">
      <c r="A35" s="53" t="n">
        <v>51</v>
      </c>
      <c r="B35" s="48" t="n">
        <v>63.19</v>
      </c>
      <c r="C35" s="48" t="n">
        <v>70.37</v>
      </c>
      <c r="D35" s="48" t="n">
        <v>62.69</v>
      </c>
      <c r="E35" s="48" t="n">
        <v>85.75</v>
      </c>
    </row>
    <row r="36" ht="12" customHeight="1">
      <c r="A36" s="53" t="n">
        <v>52</v>
      </c>
      <c r="B36" s="48" t="n">
        <v>64.56999999999999</v>
      </c>
      <c r="C36" s="48" t="n">
        <v>73.34</v>
      </c>
      <c r="D36" s="48" t="n">
        <v>65.28</v>
      </c>
      <c r="E36" s="48" t="n">
        <v>88.40000000000001</v>
      </c>
    </row>
    <row r="37" ht="12" customHeight="1">
      <c r="A37" s="53" t="n">
        <v>53</v>
      </c>
      <c r="B37" s="48" t="n">
        <v>65.97</v>
      </c>
      <c r="C37" s="48" t="n">
        <v>76.42</v>
      </c>
      <c r="D37" s="48" t="n">
        <v>67.88</v>
      </c>
      <c r="E37" s="48" t="n">
        <v>92.84999999999999</v>
      </c>
    </row>
    <row r="38" ht="12" customHeight="1">
      <c r="A38" s="53" t="n">
        <v>54</v>
      </c>
      <c r="B38" s="48" t="n">
        <v>67.41</v>
      </c>
      <c r="C38" s="48" t="n">
        <v>79.64</v>
      </c>
      <c r="D38" s="48" t="n">
        <v>70.48999999999999</v>
      </c>
      <c r="E38" s="48" t="n">
        <v>95.47</v>
      </c>
    </row>
    <row r="39" ht="12" customHeight="1">
      <c r="A39" s="53" t="n">
        <v>55</v>
      </c>
      <c r="B39" s="48" t="n">
        <v>68.87</v>
      </c>
      <c r="C39" s="48" t="n">
        <v>82.98999999999999</v>
      </c>
      <c r="D39" s="48" t="n">
        <v>72.47</v>
      </c>
      <c r="E39" s="48" t="n">
        <v>97.90000000000001</v>
      </c>
    </row>
    <row r="40" ht="12" customHeight="1">
      <c r="A40" s="53" t="n">
        <v>56</v>
      </c>
      <c r="B40" s="48" t="n">
        <v>69.34999999999999</v>
      </c>
      <c r="C40" s="48" t="n">
        <v>83.03</v>
      </c>
      <c r="D40" s="48" t="n">
        <v>80.12</v>
      </c>
      <c r="E40" s="48" t="n">
        <v>103.05</v>
      </c>
    </row>
    <row r="41" ht="12" customHeight="1">
      <c r="A41" s="53" t="n">
        <v>57</v>
      </c>
      <c r="B41" s="48" t="n">
        <v>69.8</v>
      </c>
      <c r="C41" s="48" t="n">
        <v>83.06999999999999</v>
      </c>
      <c r="D41" s="48" t="n">
        <v>82.68000000000001</v>
      </c>
      <c r="E41" s="48" t="n">
        <v>108.47</v>
      </c>
    </row>
    <row r="42" ht="12" customHeight="1">
      <c r="A42" s="53" t="n">
        <v>58</v>
      </c>
      <c r="B42" s="48" t="n">
        <v>70.2</v>
      </c>
      <c r="C42" s="48" t="n">
        <v>83.11</v>
      </c>
      <c r="D42" s="48" t="n">
        <v>85.33</v>
      </c>
      <c r="E42" s="48" t="n">
        <v>114.18</v>
      </c>
    </row>
    <row r="43" ht="12" customHeight="1">
      <c r="A43" s="53" t="n">
        <v>59</v>
      </c>
      <c r="B43" s="48" t="n">
        <v>70.56</v>
      </c>
      <c r="C43" s="48" t="n">
        <v>85.64</v>
      </c>
      <c r="D43" s="48" t="n">
        <v>86.33</v>
      </c>
      <c r="E43" s="48" t="n">
        <v>120.17</v>
      </c>
    </row>
    <row r="44" ht="12" customHeight="1">
      <c r="A44" s="53" t="n">
        <v>60</v>
      </c>
      <c r="B44" s="48" t="n">
        <v>70.87</v>
      </c>
      <c r="C44" s="48" t="n">
        <v>89.44</v>
      </c>
      <c r="D44" s="48" t="n">
        <v>87.03</v>
      </c>
      <c r="E44" s="48" t="n">
        <v>126.49</v>
      </c>
    </row>
    <row r="45" ht="12" customHeight="1">
      <c r="A45" s="53" t="n">
        <v>61</v>
      </c>
      <c r="B45" s="48" t="n">
        <v>74.06</v>
      </c>
      <c r="C45" s="48" t="n">
        <v>93.41</v>
      </c>
      <c r="D45" s="48" t="n">
        <v>89.40000000000001</v>
      </c>
      <c r="E45" s="48" t="n">
        <v>133.13</v>
      </c>
    </row>
    <row r="46" ht="12" customHeight="1">
      <c r="A46" s="53" t="n">
        <v>62</v>
      </c>
      <c r="B46" s="48" t="n">
        <v>77.38</v>
      </c>
      <c r="C46" s="48" t="n">
        <v>97.54000000000001</v>
      </c>
      <c r="D46" s="48" t="n">
        <v>94.15000000000001</v>
      </c>
      <c r="E46" s="48" t="n">
        <v>140.14</v>
      </c>
    </row>
    <row r="47" ht="12" customHeight="1">
      <c r="A47" s="53" t="n">
        <v>63</v>
      </c>
      <c r="B47" s="48" t="n">
        <v>80.84</v>
      </c>
      <c r="C47" s="48" t="n">
        <v>101.87</v>
      </c>
      <c r="D47" s="48" t="n">
        <v>99.12</v>
      </c>
      <c r="E47" s="48" t="n">
        <v>147.5</v>
      </c>
    </row>
    <row r="48" ht="12" customHeight="1">
      <c r="A48" s="53" t="n">
        <v>64</v>
      </c>
      <c r="B48" s="48" t="n">
        <v>84.43000000000001</v>
      </c>
      <c r="C48" s="48" t="n">
        <v>106.38</v>
      </c>
      <c r="D48" s="48" t="n">
        <v>104.3</v>
      </c>
      <c r="E48" s="48" t="n">
        <v>155.26</v>
      </c>
    </row>
    <row r="49" ht="12" customHeight="1">
      <c r="A49" s="53" t="n">
        <v>65</v>
      </c>
      <c r="B49" s="48" t="n">
        <v>88.17</v>
      </c>
      <c r="C49" s="48" t="n">
        <v>111.09</v>
      </c>
      <c r="D49" s="48" t="n">
        <v>109.71</v>
      </c>
      <c r="E49" s="48" t="n">
        <v>163.41</v>
      </c>
    </row>
    <row r="50" ht="12" customHeight="1">
      <c r="A50" s="53" t="n">
        <v>66</v>
      </c>
      <c r="B50" s="48" t="n">
        <v>93.53</v>
      </c>
      <c r="C50" s="48" t="n">
        <v>117.73</v>
      </c>
      <c r="D50" s="48" t="n">
        <v>117.01</v>
      </c>
      <c r="E50" s="48" t="n">
        <v>172.91</v>
      </c>
    </row>
    <row r="51" ht="12" customHeight="1">
      <c r="A51" s="53" t="n">
        <v>67</v>
      </c>
      <c r="B51" s="48" t="n">
        <v>99.20999999999999</v>
      </c>
      <c r="C51" s="48" t="n">
        <v>124.77</v>
      </c>
      <c r="D51" s="48" t="n">
        <v>124.8</v>
      </c>
      <c r="E51" s="48" t="n">
        <v>182.98</v>
      </c>
    </row>
    <row r="52" ht="12" customHeight="1">
      <c r="A52" s="53" t="n">
        <v>68</v>
      </c>
      <c r="B52" s="48" t="n">
        <v>105.23</v>
      </c>
      <c r="C52" s="48" t="n">
        <v>132.24</v>
      </c>
      <c r="D52" s="48" t="n">
        <v>133.11</v>
      </c>
      <c r="E52" s="48" t="n">
        <v>193.61</v>
      </c>
    </row>
    <row r="53" ht="12" customHeight="1">
      <c r="A53" s="53" t="n">
        <v>69</v>
      </c>
      <c r="B53" s="48" t="n">
        <v>111.63</v>
      </c>
      <c r="C53" s="48" t="n">
        <v>140.14</v>
      </c>
      <c r="D53" s="48" t="n">
        <v>141.97</v>
      </c>
      <c r="E53" s="48" t="n">
        <v>204.87</v>
      </c>
    </row>
    <row r="54" ht="12" customHeight="1">
      <c r="A54" s="53" t="n">
        <v>70</v>
      </c>
      <c r="B54" s="48" t="n">
        <v>118.41</v>
      </c>
      <c r="C54" s="48" t="n">
        <v>146.65</v>
      </c>
      <c r="D54" s="48" t="n">
        <v>151.42</v>
      </c>
      <c r="E54" s="48" t="n">
        <v>216.79</v>
      </c>
    </row>
    <row r="55" ht="12" customHeight="1">
      <c r="A55" s="53" t="n">
        <v>71</v>
      </c>
      <c r="B55" s="48" t="n">
        <v>124.13</v>
      </c>
      <c r="C55" s="48" t="n">
        <v>156.77</v>
      </c>
      <c r="D55" s="48" t="n">
        <v>161.46</v>
      </c>
      <c r="E55" s="48" t="n">
        <v>229.39</v>
      </c>
    </row>
    <row r="56" ht="12" customHeight="1">
      <c r="A56" s="53" t="n">
        <v>72</v>
      </c>
      <c r="B56" s="48" t="n">
        <v>130.12</v>
      </c>
      <c r="C56" s="48" t="n">
        <v>166.82</v>
      </c>
      <c r="D56" s="48" t="n">
        <v>172.17</v>
      </c>
      <c r="E56" s="48" t="n">
        <v>242.72</v>
      </c>
    </row>
    <row r="57" ht="12" customHeight="1">
      <c r="A57" s="53" t="n">
        <v>73</v>
      </c>
      <c r="B57" s="48" t="n">
        <v>136.37</v>
      </c>
      <c r="C57" s="48" t="n">
        <v>176.79</v>
      </c>
      <c r="D57" s="48" t="n">
        <v>183.59</v>
      </c>
      <c r="E57" s="48" t="n">
        <v>256.84</v>
      </c>
    </row>
    <row r="58" ht="12" customHeight="1">
      <c r="A58" s="53" t="n">
        <v>74</v>
      </c>
      <c r="B58" s="48" t="n">
        <v>142.91</v>
      </c>
      <c r="C58" s="48" t="n">
        <v>187.36</v>
      </c>
      <c r="D58" s="48" t="n">
        <v>195.77</v>
      </c>
      <c r="E58" s="48" t="n">
        <v>271.78</v>
      </c>
    </row>
    <row r="59" ht="12" customHeight="1">
      <c r="A59" s="53" t="n">
        <v>75</v>
      </c>
      <c r="B59" s="48" t="n">
        <v>149.73</v>
      </c>
      <c r="C59" s="48" t="n">
        <v>198.56</v>
      </c>
      <c r="D59" s="48" t="n">
        <v>208.75</v>
      </c>
      <c r="E59" s="48" t="n">
        <v>287.59</v>
      </c>
    </row>
    <row r="60" ht="12" customHeight="1">
      <c r="A60" s="53" t="n">
        <v>76</v>
      </c>
      <c r="B60" s="48" t="n">
        <v>159.9</v>
      </c>
      <c r="C60" s="48" t="n">
        <v>213.77</v>
      </c>
      <c r="D60" s="48" t="n">
        <v>220.26</v>
      </c>
      <c r="E60" s="48" t="n">
        <v>307.15</v>
      </c>
    </row>
    <row r="61" ht="12" customHeight="1">
      <c r="A61" s="53" t="n">
        <v>77</v>
      </c>
      <c r="B61" s="48" t="n">
        <v>170.19</v>
      </c>
      <c r="C61" s="48" t="n">
        <v>230.15</v>
      </c>
      <c r="D61" s="48" t="n">
        <v>231.96</v>
      </c>
      <c r="E61" s="48" t="n">
        <v>328.04</v>
      </c>
    </row>
    <row r="62" ht="12" customHeight="1">
      <c r="A62" s="53" t="n">
        <v>78</v>
      </c>
      <c r="B62" s="48" t="n">
        <v>180.63</v>
      </c>
      <c r="C62" s="48" t="n">
        <v>240.02</v>
      </c>
      <c r="D62" s="48" t="n">
        <v>243.84</v>
      </c>
      <c r="E62" s="48" t="n">
        <v>336.59</v>
      </c>
    </row>
    <row r="63" ht="12" customHeight="1">
      <c r="A63" s="53" t="n">
        <v>79</v>
      </c>
      <c r="B63" s="48" t="n">
        <v>191.19</v>
      </c>
      <c r="C63" s="48" t="n">
        <v>242.14</v>
      </c>
      <c r="D63" s="48" t="n">
        <v>255.92</v>
      </c>
      <c r="E63" s="48" t="n">
        <v>338.7</v>
      </c>
    </row>
    <row r="64" ht="12" customHeight="1">
      <c r="A64" s="53" t="n">
        <v>80</v>
      </c>
      <c r="B64" s="48" t="n">
        <v>201.89</v>
      </c>
      <c r="C64" s="48" t="n">
        <v>244.28</v>
      </c>
      <c r="D64" s="48" t="n">
        <v>268.18</v>
      </c>
      <c r="E64" s="48" t="n">
        <v>340.82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ColWidth="12.5703125" defaultRowHeight="15" customHeight="1"/>
  <cols>
    <col width="7.7109375" customWidth="1" style="32" min="1" max="1"/>
    <col width="12.7109375" customWidth="1" style="32" min="2" max="2"/>
    <col width="14" customWidth="1" style="32" min="3" max="3"/>
    <col width="8.5703125" customWidth="1" style="32" min="4" max="10"/>
  </cols>
  <sheetData>
    <row r="1">
      <c r="A1" s="26" t="inlineStr">
        <is>
          <t>Age</t>
        </is>
      </c>
      <c r="B1" s="26" t="inlineStr">
        <is>
          <t>Male</t>
        </is>
      </c>
      <c r="C1" s="26" t="inlineStr">
        <is>
          <t>Female</t>
        </is>
      </c>
    </row>
    <row r="2">
      <c r="A2" s="28" t="n">
        <v>50</v>
      </c>
      <c r="B2" s="31" t="n">
        <v>64.73</v>
      </c>
      <c r="C2" s="31" t="n">
        <v>43.85</v>
      </c>
    </row>
    <row r="3">
      <c r="A3" s="28" t="n">
        <v>51</v>
      </c>
      <c r="B3" s="31" t="n">
        <v>65.77</v>
      </c>
      <c r="C3" s="31" t="n">
        <v>44.96</v>
      </c>
    </row>
    <row r="4">
      <c r="A4" s="28" t="n">
        <v>52</v>
      </c>
      <c r="B4" s="31" t="n">
        <v>66.95</v>
      </c>
      <c r="C4" s="31" t="n">
        <v>46.66</v>
      </c>
    </row>
    <row r="5">
      <c r="A5" s="28" t="n">
        <v>53</v>
      </c>
      <c r="B5" s="31" t="n">
        <v>68</v>
      </c>
      <c r="C5" s="31" t="n">
        <v>49.18</v>
      </c>
    </row>
    <row r="6">
      <c r="A6" s="28" t="n">
        <v>54</v>
      </c>
      <c r="B6" s="31" t="n">
        <v>69.19</v>
      </c>
      <c r="C6" s="31" t="n">
        <v>51.43</v>
      </c>
    </row>
    <row r="7">
      <c r="A7" s="28" t="n">
        <v>55</v>
      </c>
      <c r="B7" s="31" t="n">
        <v>71.18000000000001</v>
      </c>
      <c r="C7" s="31" t="n">
        <v>53.47</v>
      </c>
    </row>
    <row r="8">
      <c r="A8" s="28" t="n">
        <v>56</v>
      </c>
      <c r="B8" s="31" t="n">
        <v>73.31999999999999</v>
      </c>
      <c r="C8" s="31" t="n">
        <v>55.72</v>
      </c>
    </row>
    <row r="9">
      <c r="A9" s="28" t="n">
        <v>57</v>
      </c>
      <c r="B9" s="31" t="n">
        <v>75.20999999999999</v>
      </c>
      <c r="C9" s="31" t="n">
        <v>57.49</v>
      </c>
    </row>
    <row r="10">
      <c r="A10" s="28" t="n">
        <v>58</v>
      </c>
      <c r="B10" s="31" t="n">
        <v>76.90000000000001</v>
      </c>
      <c r="C10" s="31" t="n">
        <v>59.27</v>
      </c>
    </row>
    <row r="11">
      <c r="A11" s="28" t="n">
        <v>59</v>
      </c>
      <c r="B11" s="31" t="n">
        <v>78.05</v>
      </c>
      <c r="C11" s="31" t="n">
        <v>60.94</v>
      </c>
    </row>
    <row r="12">
      <c r="A12" s="28" t="n">
        <v>60</v>
      </c>
      <c r="B12" s="31" t="n">
        <v>79.3</v>
      </c>
      <c r="C12" s="31" t="n">
        <v>62.26</v>
      </c>
    </row>
    <row r="13">
      <c r="A13" s="28" t="n">
        <v>61</v>
      </c>
      <c r="B13" s="31" t="n">
        <v>84.97</v>
      </c>
      <c r="C13" s="31" t="n">
        <v>66.18000000000001</v>
      </c>
    </row>
    <row r="14">
      <c r="A14" s="28" t="n">
        <v>62</v>
      </c>
      <c r="B14" s="31" t="n">
        <v>90.69</v>
      </c>
      <c r="C14" s="31" t="n">
        <v>69.75</v>
      </c>
    </row>
    <row r="15">
      <c r="A15" s="28" t="n">
        <v>63</v>
      </c>
      <c r="B15" s="31" t="n">
        <v>96.15000000000001</v>
      </c>
      <c r="C15" s="31" t="n">
        <v>72.84999999999999</v>
      </c>
    </row>
    <row r="16">
      <c r="A16" s="28" t="n">
        <v>64</v>
      </c>
      <c r="B16" s="31" t="n">
        <v>101.4</v>
      </c>
      <c r="C16" s="31" t="n">
        <v>75.20999999999999</v>
      </c>
    </row>
    <row r="17">
      <c r="A17" s="28" t="n">
        <v>65</v>
      </c>
      <c r="B17" s="31" t="n">
        <v>106.51</v>
      </c>
      <c r="C17" s="31" t="n">
        <v>77.23999999999999</v>
      </c>
    </row>
    <row r="18">
      <c r="A18" s="28" t="n">
        <v>66</v>
      </c>
      <c r="B18" s="31" t="n">
        <v>111.02</v>
      </c>
      <c r="C18" s="31" t="n">
        <v>81.40000000000001</v>
      </c>
    </row>
    <row r="19">
      <c r="A19" s="28" t="n">
        <v>67</v>
      </c>
      <c r="B19" s="31" t="n">
        <v>114.94</v>
      </c>
      <c r="C19" s="31" t="n">
        <v>84.84999999999999</v>
      </c>
    </row>
    <row r="20">
      <c r="A20" s="28" t="n">
        <v>68</v>
      </c>
      <c r="B20" s="31" t="n">
        <v>118.61</v>
      </c>
      <c r="C20" s="31" t="n">
        <v>88.05</v>
      </c>
    </row>
    <row r="21" ht="15.75" customHeight="1">
      <c r="A21" s="28" t="n">
        <v>69</v>
      </c>
      <c r="B21" s="31" t="n">
        <v>121.83</v>
      </c>
      <c r="C21" s="31" t="n">
        <v>91.17</v>
      </c>
    </row>
    <row r="22" ht="15.75" customHeight="1">
      <c r="A22" s="28" t="n">
        <v>70</v>
      </c>
      <c r="B22" s="31" t="n">
        <v>124.69</v>
      </c>
      <c r="C22" s="31" t="n">
        <v>94.01000000000001</v>
      </c>
    </row>
    <row r="23" ht="15.75" customHeight="1">
      <c r="A23" s="28" t="n">
        <v>71</v>
      </c>
      <c r="B23" s="31" t="n">
        <v>136.36</v>
      </c>
      <c r="C23" s="31" t="n">
        <v>103.53</v>
      </c>
    </row>
    <row r="24" ht="15.75" customHeight="1">
      <c r="A24" s="28" t="n">
        <v>72</v>
      </c>
      <c r="B24" s="31" t="n">
        <v>147.78</v>
      </c>
      <c r="C24" s="31" t="n">
        <v>112.57</v>
      </c>
    </row>
    <row r="25" ht="15.75" customHeight="1">
      <c r="A25" s="28" t="n">
        <v>73</v>
      </c>
      <c r="B25" s="31" t="n">
        <v>158.48</v>
      </c>
      <c r="C25" s="31" t="n">
        <v>121.24</v>
      </c>
    </row>
    <row r="26" ht="15.75" customHeight="1">
      <c r="A26" s="28" t="n">
        <v>74</v>
      </c>
      <c r="B26" s="31" t="n">
        <v>168.48</v>
      </c>
      <c r="C26" s="31" t="n">
        <v>129.23</v>
      </c>
    </row>
    <row r="27" ht="15.75" customHeight="1">
      <c r="A27" s="28" t="n">
        <v>75</v>
      </c>
      <c r="B27" s="31" t="n">
        <v>177.05</v>
      </c>
      <c r="C27" s="31" t="n">
        <v>136.36</v>
      </c>
    </row>
    <row r="28" ht="15.75" customHeight="1">
      <c r="A28" s="28" t="n">
        <v>76</v>
      </c>
      <c r="B28" s="31" t="n">
        <v>207.36</v>
      </c>
      <c r="C28" s="31" t="n">
        <v>156.57</v>
      </c>
    </row>
    <row r="29" ht="15.75" customHeight="1">
      <c r="A29" s="28" t="n">
        <v>77</v>
      </c>
      <c r="B29" s="31" t="n">
        <v>236.5</v>
      </c>
      <c r="C29" s="31" t="n">
        <v>175.63</v>
      </c>
    </row>
    <row r="30" ht="15.75" customHeight="1">
      <c r="A30" s="28" t="n">
        <v>78</v>
      </c>
      <c r="B30" s="31" t="n">
        <v>243.98</v>
      </c>
      <c r="C30" s="31" t="n">
        <v>193.46</v>
      </c>
    </row>
    <row r="31" ht="15.75" customHeight="1">
      <c r="A31" s="28" t="n">
        <v>79</v>
      </c>
      <c r="B31" s="31" t="n">
        <v>244.49</v>
      </c>
      <c r="C31" s="31" t="n">
        <v>210.1</v>
      </c>
    </row>
    <row r="32" ht="15.75" customHeight="1">
      <c r="A32" s="28" t="n">
        <v>80</v>
      </c>
      <c r="B32" s="31" t="n">
        <v>244.98</v>
      </c>
      <c r="C32" s="31" t="n">
        <v>224.85</v>
      </c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6.85546875" customWidth="1" style="32" min="1" max="1"/>
    <col width="13.7109375" customWidth="1" style="32" min="2" max="2"/>
    <col width="12.85546875" customWidth="1" style="32" min="3" max="3"/>
    <col width="15.28515625" customWidth="1" style="32" min="4" max="4"/>
    <col width="11.7109375" customWidth="1" style="32" min="5" max="5"/>
    <col width="9.140625" customWidth="1" style="32" min="6" max="6"/>
    <col width="8.5703125" customWidth="1" style="32" min="7" max="26"/>
  </cols>
  <sheetData>
    <row r="1" ht="12" customHeight="1">
      <c r="A1" s="27" t="inlineStr">
        <is>
          <t>Age</t>
        </is>
      </c>
      <c r="B1" s="27" t="inlineStr">
        <is>
          <t>Male Non-Smoker</t>
        </is>
      </c>
      <c r="C1" s="23" t="inlineStr">
        <is>
          <t>Male Smoker</t>
        </is>
      </c>
      <c r="D1" s="23" t="inlineStr">
        <is>
          <t>Female Non-Smoker</t>
        </is>
      </c>
      <c r="E1" s="23" t="inlineStr">
        <is>
          <t>Female Smoker</t>
        </is>
      </c>
    </row>
    <row r="2" ht="12" customHeight="1">
      <c r="A2" s="24" t="n">
        <v>50</v>
      </c>
      <c r="B2" s="82" t="n">
        <v>32.96</v>
      </c>
      <c r="C2" s="82" t="n">
        <v>43.12</v>
      </c>
      <c r="D2" s="82" t="n">
        <v>27.3</v>
      </c>
      <c r="E2" s="82" t="n">
        <v>32.55</v>
      </c>
    </row>
    <row r="3" ht="12" customHeight="1">
      <c r="A3" s="24" t="n">
        <v>51</v>
      </c>
      <c r="B3" s="82" t="n">
        <v>34.9</v>
      </c>
      <c r="C3" s="82" t="n">
        <v>45.03</v>
      </c>
      <c r="D3" s="82" t="n">
        <v>29.36</v>
      </c>
      <c r="E3" s="82" t="n">
        <v>33.62</v>
      </c>
    </row>
    <row r="4" ht="12" customHeight="1">
      <c r="A4" s="24" t="n">
        <v>52</v>
      </c>
      <c r="B4" s="82" t="n">
        <v>36.67</v>
      </c>
      <c r="C4" s="82" t="n">
        <v>47.09</v>
      </c>
      <c r="D4" s="82" t="n">
        <v>30.58</v>
      </c>
      <c r="E4" s="82" t="n">
        <v>35.34</v>
      </c>
    </row>
    <row r="5" ht="12" customHeight="1">
      <c r="A5" s="24" t="n">
        <v>53</v>
      </c>
      <c r="B5" s="82" t="n">
        <v>39.14</v>
      </c>
      <c r="C5" s="82" t="n">
        <v>49.42</v>
      </c>
      <c r="D5" s="82" t="n">
        <v>32.21</v>
      </c>
      <c r="E5" s="82" t="n">
        <v>37.29</v>
      </c>
    </row>
    <row r="6" ht="12" customHeight="1">
      <c r="A6" s="24" t="n">
        <v>54</v>
      </c>
      <c r="B6" s="82" t="n">
        <v>40.94</v>
      </c>
      <c r="C6" s="82" t="n">
        <v>51.61</v>
      </c>
      <c r="D6" s="82" t="n">
        <v>33.74</v>
      </c>
      <c r="E6" s="82" t="n">
        <v>38.73</v>
      </c>
    </row>
    <row r="7" ht="12" customHeight="1">
      <c r="A7" s="24" t="n">
        <v>55</v>
      </c>
      <c r="B7" s="82" t="n">
        <v>42.49</v>
      </c>
      <c r="C7" s="82" t="n">
        <v>53.82</v>
      </c>
      <c r="D7" s="82" t="n">
        <v>35.28</v>
      </c>
      <c r="E7" s="82" t="n">
        <v>40.94</v>
      </c>
    </row>
    <row r="8" ht="12" customHeight="1">
      <c r="A8" s="24" t="n">
        <v>56</v>
      </c>
      <c r="B8" s="82" t="n">
        <v>44.18</v>
      </c>
      <c r="C8" s="82" t="n">
        <v>56.05</v>
      </c>
      <c r="D8" s="82" t="n">
        <v>36.42</v>
      </c>
      <c r="E8" s="82" t="n">
        <v>42.23</v>
      </c>
    </row>
    <row r="9" ht="12" customHeight="1">
      <c r="A9" s="24" t="n">
        <v>57</v>
      </c>
      <c r="B9" s="82" t="n">
        <v>45.32</v>
      </c>
      <c r="C9" s="82" t="n">
        <v>58.29</v>
      </c>
      <c r="D9" s="82" t="n">
        <v>37.7</v>
      </c>
      <c r="E9" s="82" t="n">
        <v>44.2</v>
      </c>
    </row>
    <row r="10" ht="12" customHeight="1">
      <c r="A10" s="24" t="n">
        <v>58</v>
      </c>
      <c r="B10" s="82" t="n">
        <v>47.64</v>
      </c>
      <c r="C10" s="82" t="n">
        <v>61.08</v>
      </c>
      <c r="D10" s="82" t="n">
        <v>38.77</v>
      </c>
      <c r="E10" s="82" t="n">
        <v>45.91</v>
      </c>
    </row>
    <row r="11" ht="12" customHeight="1">
      <c r="A11" s="24" t="n">
        <v>59</v>
      </c>
      <c r="B11" s="82" t="n">
        <v>49.5</v>
      </c>
      <c r="C11" s="82" t="n">
        <v>63.35</v>
      </c>
      <c r="D11" s="82" t="n">
        <v>40.17</v>
      </c>
      <c r="E11" s="82" t="n">
        <v>47.7</v>
      </c>
    </row>
    <row r="12" ht="12" customHeight="1">
      <c r="A12" s="24" t="n">
        <v>60</v>
      </c>
      <c r="B12" s="82" t="n">
        <v>50.47</v>
      </c>
      <c r="C12" s="82" t="n">
        <v>65.81999999999999</v>
      </c>
      <c r="D12" s="82" t="n">
        <v>40.48</v>
      </c>
      <c r="E12" s="82" t="n">
        <v>49.01</v>
      </c>
    </row>
    <row r="13" ht="12" customHeight="1">
      <c r="A13" s="24" t="n">
        <v>61</v>
      </c>
      <c r="B13" s="82" t="n">
        <v>53.38</v>
      </c>
      <c r="C13" s="82" t="n">
        <v>70.04000000000001</v>
      </c>
      <c r="D13" s="82" t="n">
        <v>42.85</v>
      </c>
      <c r="E13" s="82" t="n">
        <v>51.46</v>
      </c>
    </row>
    <row r="14" ht="12" customHeight="1">
      <c r="A14" s="24" t="n">
        <v>62</v>
      </c>
      <c r="B14" s="82" t="n">
        <v>56.09</v>
      </c>
      <c r="C14" s="82" t="n">
        <v>73.13</v>
      </c>
      <c r="D14" s="82" t="n">
        <v>44.5</v>
      </c>
      <c r="E14" s="82" t="n">
        <v>54.08</v>
      </c>
    </row>
    <row r="15" ht="12" customHeight="1">
      <c r="A15" s="24" t="n">
        <v>63</v>
      </c>
      <c r="B15" s="82" t="n">
        <v>58.71</v>
      </c>
      <c r="C15" s="82" t="n">
        <v>76.01000000000001</v>
      </c>
      <c r="D15" s="82" t="n">
        <v>46.44</v>
      </c>
      <c r="E15" s="82" t="n">
        <v>56.85</v>
      </c>
    </row>
    <row r="16" ht="12" customHeight="1">
      <c r="A16" s="24" t="n">
        <v>64</v>
      </c>
      <c r="B16" s="82" t="n">
        <v>61.8</v>
      </c>
      <c r="C16" s="82" t="n">
        <v>79.64</v>
      </c>
      <c r="D16" s="82" t="n">
        <v>48.5</v>
      </c>
      <c r="E16" s="82" t="n">
        <v>59.78</v>
      </c>
    </row>
    <row r="17" ht="12" customHeight="1">
      <c r="A17" s="24" t="n">
        <v>65</v>
      </c>
      <c r="B17" s="82" t="n">
        <v>64.89</v>
      </c>
      <c r="C17" s="82" t="n">
        <v>83.43000000000001</v>
      </c>
      <c r="D17" s="82" t="n">
        <v>50.47</v>
      </c>
      <c r="E17" s="82" t="n">
        <v>62.57</v>
      </c>
    </row>
    <row r="18" ht="12" customHeight="1">
      <c r="A18" s="24" t="n">
        <v>66</v>
      </c>
      <c r="B18" s="82" t="n">
        <v>69.23999999999999</v>
      </c>
      <c r="C18" s="82" t="n">
        <v>88.51000000000001</v>
      </c>
      <c r="D18" s="82" t="n">
        <v>53.59</v>
      </c>
      <c r="E18" s="82" t="n">
        <v>65.88</v>
      </c>
    </row>
    <row r="19" ht="12" customHeight="1">
      <c r="A19" s="24" t="n">
        <v>67</v>
      </c>
      <c r="B19" s="82" t="n">
        <v>73.78</v>
      </c>
      <c r="C19" s="82" t="n">
        <v>93.22</v>
      </c>
      <c r="D19" s="82" t="n">
        <v>56.34</v>
      </c>
      <c r="E19" s="82" t="n">
        <v>69.33</v>
      </c>
    </row>
    <row r="20" ht="12" customHeight="1">
      <c r="A20" s="24" t="n">
        <v>68</v>
      </c>
      <c r="B20" s="82" t="n">
        <v>78.7</v>
      </c>
      <c r="C20" s="82" t="n">
        <v>98.88</v>
      </c>
      <c r="D20" s="82" t="n">
        <v>59.45</v>
      </c>
      <c r="E20" s="82" t="n">
        <v>72.09999999999999</v>
      </c>
    </row>
    <row r="21" ht="12" customHeight="1">
      <c r="A21" s="24" t="n">
        <v>69</v>
      </c>
      <c r="B21" s="82" t="n">
        <v>83.12</v>
      </c>
      <c r="C21" s="82" t="n">
        <v>104.55</v>
      </c>
      <c r="D21" s="82" t="n">
        <v>62.52</v>
      </c>
      <c r="E21" s="82" t="n">
        <v>77.12</v>
      </c>
    </row>
    <row r="22" ht="12" customHeight="1">
      <c r="A22" s="24" t="n">
        <v>70</v>
      </c>
      <c r="B22" s="82" t="n">
        <v>86.53</v>
      </c>
      <c r="C22" s="82" t="n">
        <v>108.72</v>
      </c>
      <c r="D22" s="82" t="n">
        <v>65.61</v>
      </c>
      <c r="E22" s="82" t="n">
        <v>79.02</v>
      </c>
    </row>
    <row r="23" ht="12" customHeight="1">
      <c r="A23" s="24" t="n">
        <v>71</v>
      </c>
      <c r="B23" s="82" t="n">
        <v>92.03</v>
      </c>
      <c r="C23" s="82" t="n">
        <v>115.15</v>
      </c>
      <c r="D23" s="82" t="n">
        <v>69.53</v>
      </c>
      <c r="E23" s="82" t="n">
        <v>83.2</v>
      </c>
    </row>
    <row r="24" ht="12" customHeight="1">
      <c r="A24" s="24" t="n">
        <v>72</v>
      </c>
      <c r="B24" s="82" t="n">
        <v>97.83</v>
      </c>
      <c r="C24" s="82" t="n">
        <v>121.93</v>
      </c>
      <c r="D24" s="82" t="n">
        <v>73.65000000000001</v>
      </c>
      <c r="E24" s="82" t="n">
        <v>87.61</v>
      </c>
    </row>
    <row r="25" ht="12" customHeight="1">
      <c r="A25" s="24" t="n">
        <v>73</v>
      </c>
      <c r="B25" s="82" t="n">
        <v>104.4</v>
      </c>
      <c r="C25" s="82" t="n">
        <v>129.6</v>
      </c>
      <c r="D25" s="82" t="n">
        <v>78.84</v>
      </c>
      <c r="E25" s="82" t="n">
        <v>92.61</v>
      </c>
    </row>
    <row r="26" ht="12" customHeight="1">
      <c r="A26" s="24" t="n">
        <v>74</v>
      </c>
      <c r="B26" s="82" t="n">
        <v>111.76</v>
      </c>
      <c r="C26" s="82" t="n">
        <v>137.51</v>
      </c>
      <c r="D26" s="82" t="n">
        <v>83.69</v>
      </c>
      <c r="E26" s="82" t="n">
        <v>97.75</v>
      </c>
    </row>
    <row r="27" ht="12" customHeight="1">
      <c r="A27" s="24" t="n">
        <v>75</v>
      </c>
      <c r="B27" s="82" t="n">
        <v>119.74</v>
      </c>
      <c r="C27" s="82" t="n">
        <v>147.55</v>
      </c>
      <c r="D27" s="82" t="n">
        <v>89.87</v>
      </c>
      <c r="E27" s="82" t="n">
        <v>104.29</v>
      </c>
    </row>
    <row r="28" ht="12" customHeight="1">
      <c r="A28" s="24" t="n">
        <v>76</v>
      </c>
      <c r="B28" s="82" t="n">
        <v>128.75</v>
      </c>
      <c r="C28" s="82" t="n">
        <v>157.59</v>
      </c>
      <c r="D28" s="82" t="n">
        <v>95.83</v>
      </c>
      <c r="E28" s="82" t="n">
        <v>112.49</v>
      </c>
    </row>
    <row r="29" ht="12" customHeight="1">
      <c r="A29" s="24" t="n">
        <v>77</v>
      </c>
      <c r="B29" s="82" t="n">
        <v>138.02</v>
      </c>
      <c r="C29" s="82" t="n">
        <v>168.1</v>
      </c>
      <c r="D29" s="82" t="n">
        <v>101.29</v>
      </c>
      <c r="E29" s="82" t="n">
        <v>120</v>
      </c>
    </row>
    <row r="30" ht="12" customHeight="1">
      <c r="A30" s="24" t="n">
        <v>78</v>
      </c>
      <c r="B30" s="82" t="n">
        <v>150.28</v>
      </c>
      <c r="C30" s="82" t="n">
        <v>180.87</v>
      </c>
      <c r="D30" s="82" t="n">
        <v>108.15</v>
      </c>
      <c r="E30" s="82" t="n">
        <v>127.85</v>
      </c>
    </row>
    <row r="31" ht="12" customHeight="1">
      <c r="A31" s="24" t="n">
        <v>79</v>
      </c>
      <c r="B31" s="82" t="n">
        <v>161.92</v>
      </c>
      <c r="C31" s="82" t="n">
        <v>191.58</v>
      </c>
      <c r="D31" s="82" t="n">
        <v>116.6</v>
      </c>
      <c r="E31" s="82" t="n">
        <v>139.06</v>
      </c>
    </row>
    <row r="32" ht="12" customHeight="1">
      <c r="A32" s="24" t="n">
        <v>80</v>
      </c>
      <c r="B32" s="82" t="n">
        <v>174.07</v>
      </c>
      <c r="C32" s="82" t="n">
        <v>203.53</v>
      </c>
      <c r="D32" s="82" t="n">
        <v>126.18</v>
      </c>
      <c r="E32" s="82" t="n">
        <v>150.62</v>
      </c>
    </row>
    <row r="33" ht="12" customHeight="1">
      <c r="A33" s="10" t="n">
        <v>81</v>
      </c>
      <c r="B33" s="86" t="n">
        <v>187.87</v>
      </c>
      <c r="C33" s="86" t="n">
        <v>216.3</v>
      </c>
      <c r="D33" s="86" t="n">
        <v>135.75</v>
      </c>
      <c r="E33" s="86" t="n">
        <v>164.14</v>
      </c>
    </row>
    <row r="34" ht="12" customHeight="1">
      <c r="A34" s="24" t="n">
        <v>82</v>
      </c>
      <c r="B34" s="82" t="n">
        <v>202.91</v>
      </c>
      <c r="C34" s="82" t="n">
        <v>229.56</v>
      </c>
      <c r="D34" s="82" t="n">
        <v>146.26</v>
      </c>
      <c r="E34" s="82" t="n">
        <v>179.51</v>
      </c>
    </row>
    <row r="35" ht="12" customHeight="1">
      <c r="A35" s="24" t="n">
        <v>83</v>
      </c>
      <c r="B35" s="82" t="n">
        <v>217.02</v>
      </c>
      <c r="C35" s="82" t="n">
        <v>246.08</v>
      </c>
      <c r="D35" s="82" t="n">
        <v>158.11</v>
      </c>
      <c r="E35" s="82" t="n">
        <v>195.69</v>
      </c>
    </row>
    <row r="36" ht="12" customHeight="1">
      <c r="A36" s="24" t="n">
        <v>84</v>
      </c>
      <c r="B36" s="82" t="n">
        <v>232.78</v>
      </c>
      <c r="C36" s="82" t="n">
        <v>266.64</v>
      </c>
      <c r="D36" s="82" t="n">
        <v>170.98</v>
      </c>
      <c r="E36" s="82" t="n">
        <v>214.76</v>
      </c>
    </row>
    <row r="37" ht="12" customHeight="1">
      <c r="A37" s="24" t="n">
        <v>85</v>
      </c>
      <c r="B37" s="82" t="n">
        <v>248.49</v>
      </c>
      <c r="C37" s="82" t="n">
        <v>289.69</v>
      </c>
      <c r="D37" s="82" t="n">
        <v>185.66</v>
      </c>
      <c r="E37" s="82" t="n">
        <v>236.13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32" min="1" max="1"/>
    <col width="14.28515625" customWidth="1" style="32" min="2" max="2"/>
    <col width="14.85546875" customWidth="1" style="32" min="3" max="3"/>
    <col width="15.28515625" customWidth="1" style="32" min="4" max="4"/>
    <col width="14.42578125" customWidth="1" style="32" min="5" max="5"/>
    <col width="9.140625" customWidth="1" style="32" min="6" max="6"/>
    <col width="8.5703125" customWidth="1" style="32" min="7" max="26"/>
  </cols>
  <sheetData>
    <row r="1" ht="12" customHeight="1">
      <c r="A1" s="27" t="inlineStr">
        <is>
          <t>e</t>
        </is>
      </c>
      <c r="B1" s="27" t="inlineStr">
        <is>
          <t>Male Non-Smoker</t>
        </is>
      </c>
      <c r="C1" s="23" t="inlineStr">
        <is>
          <t>Male Smoker</t>
        </is>
      </c>
      <c r="D1" s="23" t="inlineStr">
        <is>
          <t>Female Non-Smoker</t>
        </is>
      </c>
      <c r="E1" s="23" t="inlineStr">
        <is>
          <t>Female Smoker</t>
        </is>
      </c>
    </row>
    <row r="2" ht="12" customHeight="1">
      <c r="A2" s="10" t="n">
        <v>50</v>
      </c>
      <c r="B2" s="86" t="n">
        <v>40.1</v>
      </c>
      <c r="C2" s="86" t="n">
        <v>60.54</v>
      </c>
      <c r="D2" s="86" t="n">
        <v>31.6</v>
      </c>
      <c r="E2" s="86" t="n">
        <v>39.42</v>
      </c>
    </row>
    <row r="3" ht="12" customHeight="1">
      <c r="A3" s="24" t="n">
        <v>51</v>
      </c>
      <c r="B3" s="82" t="n">
        <v>42.35</v>
      </c>
      <c r="C3" s="82" t="n">
        <v>63.59</v>
      </c>
      <c r="D3" s="82" t="n">
        <v>33.24</v>
      </c>
      <c r="E3" s="82" t="n">
        <v>41.7</v>
      </c>
    </row>
    <row r="4" ht="12" customHeight="1">
      <c r="A4" s="24" t="n">
        <v>52</v>
      </c>
      <c r="B4" s="82" t="n">
        <v>44.61</v>
      </c>
      <c r="C4" s="82" t="n">
        <v>66.64</v>
      </c>
      <c r="D4" s="82" t="n">
        <v>34.88</v>
      </c>
      <c r="E4" s="82" t="n">
        <v>43.99</v>
      </c>
    </row>
    <row r="5" ht="12" customHeight="1">
      <c r="A5" s="24" t="n">
        <v>53</v>
      </c>
      <c r="B5" s="82" t="n">
        <v>47.16</v>
      </c>
      <c r="C5" s="82" t="n">
        <v>70.09</v>
      </c>
      <c r="D5" s="82" t="n">
        <v>36.73</v>
      </c>
      <c r="E5" s="82" t="n">
        <v>46.58</v>
      </c>
    </row>
    <row r="6" ht="12" customHeight="1">
      <c r="A6" s="24" t="n">
        <v>54</v>
      </c>
      <c r="B6" s="82" t="n">
        <v>49.72</v>
      </c>
      <c r="C6" s="82" t="n">
        <v>73.54000000000001</v>
      </c>
      <c r="D6" s="82" t="n">
        <v>38.58</v>
      </c>
      <c r="E6" s="82" t="n">
        <v>49.16</v>
      </c>
    </row>
    <row r="7" ht="12" customHeight="1">
      <c r="A7" s="24" t="n">
        <v>55</v>
      </c>
      <c r="B7" s="82" t="n">
        <v>52.27</v>
      </c>
      <c r="C7" s="82" t="n">
        <v>76.98999999999999</v>
      </c>
      <c r="D7" s="82" t="n">
        <v>40.43</v>
      </c>
      <c r="E7" s="82" t="n">
        <v>51.76</v>
      </c>
    </row>
    <row r="8" ht="12" customHeight="1">
      <c r="A8" s="24" t="n">
        <v>56</v>
      </c>
      <c r="B8" s="82" t="n">
        <v>54.51</v>
      </c>
      <c r="C8" s="82" t="n">
        <v>80.06999999999999</v>
      </c>
      <c r="D8" s="82" t="n">
        <v>42.11</v>
      </c>
      <c r="E8" s="82" t="n">
        <v>54.62</v>
      </c>
    </row>
    <row r="9" ht="12" customHeight="1">
      <c r="A9" s="24" t="n">
        <v>57</v>
      </c>
      <c r="B9" s="82" t="n">
        <v>56.86</v>
      </c>
      <c r="C9" s="82" t="n">
        <v>83.31999999999999</v>
      </c>
      <c r="D9" s="82" t="n">
        <v>43.88</v>
      </c>
      <c r="E9" s="82" t="n">
        <v>57.63</v>
      </c>
    </row>
    <row r="10" ht="12" customHeight="1">
      <c r="A10" s="24" t="n">
        <v>58</v>
      </c>
      <c r="B10" s="82" t="n">
        <v>59.33</v>
      </c>
      <c r="C10" s="82" t="n">
        <v>86.73</v>
      </c>
      <c r="D10" s="82" t="n">
        <v>45.73</v>
      </c>
      <c r="E10" s="82" t="n">
        <v>60.79</v>
      </c>
    </row>
    <row r="11" ht="12" customHeight="1">
      <c r="A11" s="24" t="n">
        <v>59</v>
      </c>
      <c r="B11" s="82" t="n">
        <v>61.91</v>
      </c>
      <c r="C11" s="82" t="n">
        <v>90.3</v>
      </c>
      <c r="D11" s="82" t="n">
        <v>47.68</v>
      </c>
      <c r="E11" s="82" t="n">
        <v>64.11</v>
      </c>
    </row>
    <row r="12" ht="12" customHeight="1">
      <c r="A12" s="24" t="n">
        <v>60</v>
      </c>
      <c r="B12" s="82" t="n">
        <v>63.91</v>
      </c>
      <c r="C12" s="82" t="n">
        <v>93.06</v>
      </c>
      <c r="D12" s="82" t="n">
        <v>49.18</v>
      </c>
      <c r="E12" s="82" t="n">
        <v>66.67</v>
      </c>
    </row>
    <row r="13" ht="12" customHeight="1">
      <c r="A13" s="24" t="n">
        <v>61</v>
      </c>
      <c r="B13" s="82" t="n">
        <v>67.31999999999999</v>
      </c>
      <c r="C13" s="82" t="n">
        <v>97.77</v>
      </c>
      <c r="D13" s="82" t="n">
        <v>51.75</v>
      </c>
      <c r="E13" s="82" t="n">
        <v>71.04000000000001</v>
      </c>
    </row>
    <row r="14" ht="12" customHeight="1">
      <c r="A14" s="24" t="n">
        <v>62</v>
      </c>
      <c r="B14" s="82" t="n">
        <v>71.08</v>
      </c>
      <c r="C14" s="82" t="n">
        <v>102.96</v>
      </c>
      <c r="D14" s="82" t="n">
        <v>54.58</v>
      </c>
      <c r="E14" s="82" t="n">
        <v>75.86</v>
      </c>
    </row>
    <row r="15" ht="12" customHeight="1">
      <c r="A15" s="24" t="n">
        <v>63</v>
      </c>
      <c r="B15" s="82" t="n">
        <v>74.95999999999999</v>
      </c>
      <c r="C15" s="82" t="n">
        <v>108.31</v>
      </c>
      <c r="D15" s="82" t="n">
        <v>57.49</v>
      </c>
      <c r="E15" s="82" t="n">
        <v>80.83</v>
      </c>
    </row>
    <row r="16" ht="12" customHeight="1">
      <c r="A16" s="24" t="n">
        <v>64</v>
      </c>
      <c r="B16" s="82" t="n">
        <v>79.08</v>
      </c>
      <c r="C16" s="82" t="n">
        <v>113.99</v>
      </c>
      <c r="D16" s="82" t="n">
        <v>60.58</v>
      </c>
      <c r="E16" s="82" t="n">
        <v>86.11</v>
      </c>
    </row>
    <row r="17" ht="12" customHeight="1">
      <c r="A17" s="24" t="n">
        <v>65</v>
      </c>
      <c r="B17" s="82" t="n">
        <v>83.43000000000001</v>
      </c>
      <c r="C17" s="82" t="n">
        <v>120</v>
      </c>
      <c r="D17" s="82" t="n">
        <v>63.86</v>
      </c>
      <c r="E17" s="82" t="n">
        <v>91.67</v>
      </c>
    </row>
    <row r="18" ht="12" customHeight="1">
      <c r="A18" s="24" t="n">
        <v>66</v>
      </c>
      <c r="B18" s="82" t="n">
        <v>89.84</v>
      </c>
      <c r="C18" s="82" t="n">
        <v>127.56</v>
      </c>
      <c r="D18" s="82" t="n">
        <v>68.27</v>
      </c>
      <c r="E18" s="82" t="n">
        <v>97.27</v>
      </c>
    </row>
    <row r="19" ht="12" customHeight="1">
      <c r="A19" s="24" t="n">
        <v>67</v>
      </c>
      <c r="B19" s="82" t="n">
        <v>96.81999999999999</v>
      </c>
      <c r="C19" s="82" t="n">
        <v>135.81</v>
      </c>
      <c r="D19" s="82" t="n">
        <v>73.08</v>
      </c>
      <c r="E19" s="82" t="n">
        <v>103.39</v>
      </c>
    </row>
    <row r="20" ht="12" customHeight="1">
      <c r="A20" s="24" t="n">
        <v>68</v>
      </c>
      <c r="B20" s="82" t="n">
        <v>104.25</v>
      </c>
      <c r="C20" s="82" t="n">
        <v>144.57</v>
      </c>
      <c r="D20" s="82" t="n">
        <v>78.19</v>
      </c>
      <c r="E20" s="82" t="n">
        <v>109.89</v>
      </c>
    </row>
    <row r="21" ht="12" customHeight="1">
      <c r="A21" s="24" t="n">
        <v>69</v>
      </c>
      <c r="B21" s="82" t="n">
        <v>112.25</v>
      </c>
      <c r="C21" s="82" t="n">
        <v>154.02</v>
      </c>
      <c r="D21" s="82" t="n">
        <v>83.7</v>
      </c>
      <c r="E21" s="82" t="n">
        <v>115.36</v>
      </c>
    </row>
    <row r="22" ht="12" customHeight="1">
      <c r="A22" s="24" t="n">
        <v>70</v>
      </c>
      <c r="B22" s="82" t="n">
        <v>116.03</v>
      </c>
      <c r="C22" s="82" t="n">
        <v>158.49</v>
      </c>
      <c r="D22" s="82" t="n">
        <v>86.3</v>
      </c>
      <c r="E22" s="82" t="n">
        <v>120.21</v>
      </c>
    </row>
    <row r="23" ht="12" customHeight="1">
      <c r="A23" s="24" t="n">
        <v>71</v>
      </c>
      <c r="B23" s="82" t="n">
        <v>123.89</v>
      </c>
      <c r="C23" s="82" t="n">
        <v>167.77</v>
      </c>
      <c r="D23" s="82" t="n">
        <v>91.70999999999999</v>
      </c>
      <c r="E23" s="82" t="n">
        <v>127.72</v>
      </c>
    </row>
    <row r="24" ht="12" customHeight="1">
      <c r="A24" s="24" t="n">
        <v>72</v>
      </c>
      <c r="B24" s="82" t="n">
        <v>133.9</v>
      </c>
      <c r="C24" s="82" t="n">
        <v>178.25</v>
      </c>
      <c r="D24" s="82" t="n">
        <v>97.81999999999999</v>
      </c>
      <c r="E24" s="82" t="n">
        <v>134.86</v>
      </c>
    </row>
    <row r="25" ht="12" customHeight="1">
      <c r="A25" s="24" t="n">
        <v>73</v>
      </c>
      <c r="B25" s="82" t="n">
        <v>144.2</v>
      </c>
      <c r="C25" s="82" t="n">
        <v>190.28</v>
      </c>
      <c r="D25" s="82" t="n">
        <v>104.83</v>
      </c>
      <c r="E25" s="82" t="n">
        <v>143.78</v>
      </c>
    </row>
    <row r="26" ht="12" customHeight="1">
      <c r="A26" s="24" t="n">
        <v>74</v>
      </c>
      <c r="B26" s="82" t="n">
        <v>155.02</v>
      </c>
      <c r="C26" s="82" t="n">
        <v>204.35</v>
      </c>
      <c r="D26" s="82" t="n">
        <v>113.3</v>
      </c>
      <c r="E26" s="82" t="n">
        <v>152.18</v>
      </c>
    </row>
    <row r="27" ht="12" customHeight="1">
      <c r="A27" s="24" t="n">
        <v>75</v>
      </c>
      <c r="B27" s="82" t="n">
        <v>166.09</v>
      </c>
      <c r="C27" s="82" t="n">
        <v>217.59</v>
      </c>
      <c r="D27" s="82" t="n">
        <v>120.77</v>
      </c>
      <c r="E27" s="82" t="n">
        <v>164.03</v>
      </c>
    </row>
    <row r="28" ht="12" customHeight="1">
      <c r="A28" s="24" t="n">
        <v>76</v>
      </c>
      <c r="B28" s="82" t="n">
        <v>179.53</v>
      </c>
      <c r="C28" s="82" t="n">
        <v>237.11</v>
      </c>
      <c r="D28" s="82" t="n">
        <v>129.78</v>
      </c>
      <c r="E28" s="82" t="n">
        <v>174.29</v>
      </c>
    </row>
    <row r="29" ht="12" customHeight="1">
      <c r="A29" s="24" t="n">
        <v>77</v>
      </c>
      <c r="B29" s="82" t="n">
        <v>196.73</v>
      </c>
      <c r="C29" s="82" t="n">
        <v>255.76</v>
      </c>
      <c r="D29" s="82" t="n">
        <v>140.6</v>
      </c>
      <c r="E29" s="82" t="n">
        <v>180.79</v>
      </c>
    </row>
    <row r="30" ht="12" customHeight="1">
      <c r="A30" s="24" t="n">
        <v>78</v>
      </c>
      <c r="B30" s="82" t="n">
        <v>215.27</v>
      </c>
      <c r="C30" s="82" t="n">
        <v>274.12</v>
      </c>
      <c r="D30" s="82" t="n">
        <v>154.5</v>
      </c>
      <c r="E30" s="82" t="n">
        <v>193.5</v>
      </c>
    </row>
    <row r="31" ht="12" customHeight="1">
      <c r="A31" s="24" t="n">
        <v>79</v>
      </c>
      <c r="B31" s="82" t="n">
        <v>234.33</v>
      </c>
      <c r="C31" s="82" t="n">
        <v>295.71</v>
      </c>
      <c r="D31" s="82" t="n">
        <v>167.38</v>
      </c>
      <c r="E31" s="82" t="n">
        <v>207.22</v>
      </c>
    </row>
    <row r="32" ht="12" customHeight="1">
      <c r="A32" s="24" t="n">
        <v>80</v>
      </c>
      <c r="B32" s="82" t="n">
        <v>254.2</v>
      </c>
      <c r="C32" s="82" t="n">
        <v>313.12</v>
      </c>
      <c r="D32" s="82" t="n">
        <v>182.31</v>
      </c>
      <c r="E32" s="82" t="n">
        <v>224.54</v>
      </c>
    </row>
    <row r="33" ht="12" customHeight="1">
      <c r="A33" s="24" t="n">
        <v>81</v>
      </c>
      <c r="B33" s="82" t="n">
        <v>269.86</v>
      </c>
      <c r="C33" s="82" t="n">
        <v>316.15</v>
      </c>
      <c r="D33" s="82" t="n">
        <v>197.76</v>
      </c>
      <c r="E33" s="82" t="n">
        <v>238.85</v>
      </c>
    </row>
    <row r="34" ht="12" customHeight="1">
      <c r="A34" s="24" t="n">
        <v>82</v>
      </c>
      <c r="B34" s="82" t="n">
        <v>283.87</v>
      </c>
      <c r="C34" s="82" t="n">
        <v>320.54</v>
      </c>
      <c r="D34" s="82" t="n">
        <v>213.21</v>
      </c>
      <c r="E34" s="82" t="n">
        <v>258.06</v>
      </c>
    </row>
    <row r="35" ht="12" customHeight="1">
      <c r="A35" s="24" t="n">
        <v>83</v>
      </c>
      <c r="B35" s="82" t="n">
        <v>296.64</v>
      </c>
      <c r="C35" s="82" t="n">
        <v>325.48</v>
      </c>
      <c r="D35" s="82" t="n">
        <v>227.63</v>
      </c>
      <c r="E35" s="82" t="n">
        <v>278.28</v>
      </c>
    </row>
    <row r="36" ht="12" customHeight="1">
      <c r="A36" s="24" t="n">
        <v>84</v>
      </c>
      <c r="B36" s="82" t="n">
        <v>307.97</v>
      </c>
      <c r="C36" s="82" t="n">
        <v>336.06</v>
      </c>
      <c r="D36" s="82" t="n">
        <v>241.02</v>
      </c>
      <c r="E36" s="82" t="n">
        <v>301.39</v>
      </c>
    </row>
    <row r="37" ht="12" customHeight="1">
      <c r="A37" s="24" t="n">
        <v>85</v>
      </c>
      <c r="B37" s="82" t="n">
        <v>312.35</v>
      </c>
      <c r="C37" s="82" t="n">
        <v>359.73</v>
      </c>
      <c r="D37" s="82" t="n">
        <v>248.49</v>
      </c>
      <c r="E37" s="82" t="n">
        <v>328.83</v>
      </c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4.28515625" customWidth="1" style="32" min="1" max="1"/>
    <col width="15.140625" customWidth="1" style="32" min="2" max="2"/>
    <col width="14.140625" customWidth="1" style="32" min="3" max="3"/>
    <col width="15.28515625" customWidth="1" style="32" min="4" max="4"/>
    <col width="14.5703125" customWidth="1" style="32" min="5" max="5"/>
    <col width="9.140625" customWidth="1" style="32" min="6" max="6"/>
    <col width="8.5703125" customWidth="1" style="32" min="7" max="26"/>
  </cols>
  <sheetData>
    <row r="1" ht="12" customHeight="1">
      <c r="A1" s="27" t="inlineStr">
        <is>
          <t>Age</t>
        </is>
      </c>
      <c r="B1" s="27" t="inlineStr">
        <is>
          <t>Male Non-Smoker</t>
        </is>
      </c>
      <c r="C1" s="23" t="inlineStr">
        <is>
          <t>Male Smoker</t>
        </is>
      </c>
      <c r="D1" s="23" t="inlineStr">
        <is>
          <t>Female Non-Smoker</t>
        </is>
      </c>
      <c r="E1" s="23" t="inlineStr">
        <is>
          <t>Female Smoker</t>
        </is>
      </c>
    </row>
    <row r="2" ht="12" customHeight="1">
      <c r="A2" s="10" t="n">
        <v>50</v>
      </c>
      <c r="B2" s="86" t="n">
        <v>47.26</v>
      </c>
      <c r="C2" s="86" t="n">
        <v>71.47</v>
      </c>
      <c r="D2" s="86" t="n">
        <v>38.07</v>
      </c>
      <c r="E2" s="86" t="n">
        <v>44.57</v>
      </c>
    </row>
    <row r="3" ht="12" customHeight="1">
      <c r="A3" s="24" t="n">
        <v>51</v>
      </c>
      <c r="B3" s="82" t="n">
        <v>49.51</v>
      </c>
      <c r="C3" s="82" t="n">
        <v>75.83</v>
      </c>
      <c r="D3" s="82" t="n">
        <v>40.14</v>
      </c>
      <c r="E3" s="82" t="n">
        <v>47.38</v>
      </c>
    </row>
    <row r="4" ht="12" customHeight="1">
      <c r="A4" s="24" t="n">
        <v>52</v>
      </c>
      <c r="B4" s="82" t="n">
        <v>51.76</v>
      </c>
      <c r="C4" s="82" t="n">
        <v>79.54000000000001</v>
      </c>
      <c r="D4" s="82" t="n">
        <v>42.21</v>
      </c>
      <c r="E4" s="82" t="n">
        <v>49.99</v>
      </c>
    </row>
    <row r="5" ht="12" customHeight="1">
      <c r="A5" s="24" t="n">
        <v>53</v>
      </c>
      <c r="B5" s="82" t="n">
        <v>54.3</v>
      </c>
      <c r="C5" s="82" t="n">
        <v>83.73999999999999</v>
      </c>
      <c r="D5" s="82" t="n">
        <v>44.55</v>
      </c>
      <c r="E5" s="82" t="n">
        <v>52.94</v>
      </c>
    </row>
    <row r="6" ht="12" customHeight="1">
      <c r="A6" s="24" t="n">
        <v>54</v>
      </c>
      <c r="B6" s="82" t="n">
        <v>56.85</v>
      </c>
      <c r="C6" s="82" t="n">
        <v>87.95</v>
      </c>
      <c r="D6" s="82" t="n">
        <v>46.89</v>
      </c>
      <c r="E6" s="82" t="n">
        <v>55.9</v>
      </c>
    </row>
    <row r="7" ht="12" customHeight="1">
      <c r="A7" s="24" t="n">
        <v>55</v>
      </c>
      <c r="B7" s="82" t="n">
        <v>59.1</v>
      </c>
      <c r="C7" s="82" t="n">
        <v>90.87</v>
      </c>
      <c r="D7" s="82" t="n">
        <v>49.03</v>
      </c>
      <c r="E7" s="82" t="n">
        <v>58.59</v>
      </c>
    </row>
    <row r="8" ht="12" customHeight="1">
      <c r="A8" s="24" t="n">
        <v>56</v>
      </c>
      <c r="B8" s="82" t="n">
        <v>62.07</v>
      </c>
      <c r="C8" s="82" t="n">
        <v>95.45</v>
      </c>
      <c r="D8" s="82" t="n">
        <v>51.49</v>
      </c>
      <c r="E8" s="82" t="n">
        <v>62.21</v>
      </c>
    </row>
    <row r="9" ht="12" customHeight="1">
      <c r="A9" s="24" t="n">
        <v>57</v>
      </c>
      <c r="B9" s="82" t="n">
        <v>65.20999999999999</v>
      </c>
      <c r="C9" s="82" t="n">
        <v>99.83</v>
      </c>
      <c r="D9" s="82" t="n">
        <v>54.09</v>
      </c>
      <c r="E9" s="82" t="n">
        <v>66.01000000000001</v>
      </c>
    </row>
    <row r="10" ht="12" customHeight="1">
      <c r="A10" s="24" t="n">
        <v>58</v>
      </c>
      <c r="B10" s="82" t="n">
        <v>68.51000000000001</v>
      </c>
      <c r="C10" s="82" t="n">
        <v>104.43</v>
      </c>
      <c r="D10" s="82" t="n">
        <v>56.83</v>
      </c>
      <c r="E10" s="82" t="n">
        <v>69.69</v>
      </c>
    </row>
    <row r="11" ht="12" customHeight="1">
      <c r="A11" s="24" t="n">
        <v>59</v>
      </c>
      <c r="B11" s="82" t="n">
        <v>71.95999999999999</v>
      </c>
      <c r="C11" s="82" t="n">
        <v>109.25</v>
      </c>
      <c r="D11" s="82" t="n">
        <v>59.69</v>
      </c>
      <c r="E11" s="82" t="n">
        <v>73.86</v>
      </c>
    </row>
    <row r="12" ht="12" customHeight="1">
      <c r="A12" s="24" t="n">
        <v>60</v>
      </c>
      <c r="B12" s="82" t="n">
        <v>74.63</v>
      </c>
      <c r="C12" s="82" t="n">
        <v>112.46</v>
      </c>
      <c r="D12" s="82" t="n">
        <v>61.89</v>
      </c>
      <c r="E12" s="82" t="n">
        <v>77.08</v>
      </c>
    </row>
    <row r="13" ht="12" customHeight="1">
      <c r="A13" s="24" t="n">
        <v>61</v>
      </c>
      <c r="B13" s="82" t="n">
        <v>79.19</v>
      </c>
      <c r="C13" s="82" t="n">
        <v>118.79</v>
      </c>
      <c r="D13" s="82" t="n">
        <v>65.67</v>
      </c>
      <c r="E13" s="82" t="n">
        <v>82.56999999999999</v>
      </c>
    </row>
    <row r="14" ht="12" customHeight="1">
      <c r="A14" s="24" t="n">
        <v>62</v>
      </c>
      <c r="B14" s="82" t="n">
        <v>84.22</v>
      </c>
      <c r="C14" s="82" t="n">
        <v>125.76</v>
      </c>
      <c r="D14" s="82" t="n">
        <v>69.81999999999999</v>
      </c>
      <c r="E14" s="82" t="n">
        <v>88.62</v>
      </c>
    </row>
    <row r="15" ht="12" customHeight="1">
      <c r="A15" s="24" t="n">
        <v>63</v>
      </c>
      <c r="B15" s="82" t="n">
        <v>89.40000000000001</v>
      </c>
      <c r="C15" s="82" t="n">
        <v>132.96</v>
      </c>
      <c r="D15" s="82" t="n">
        <v>74.12</v>
      </c>
      <c r="E15" s="82" t="n">
        <v>94.87</v>
      </c>
    </row>
    <row r="16" ht="12" customHeight="1">
      <c r="A16" s="24" t="n">
        <v>64</v>
      </c>
      <c r="B16" s="82" t="n">
        <v>94.44</v>
      </c>
      <c r="C16" s="82" t="n">
        <v>139.29</v>
      </c>
      <c r="D16" s="82" t="n">
        <v>78.29000000000001</v>
      </c>
      <c r="E16" s="82" t="n">
        <v>101.03</v>
      </c>
    </row>
    <row r="17" ht="12" customHeight="1">
      <c r="A17" s="24" t="n">
        <v>65</v>
      </c>
      <c r="B17" s="82" t="n">
        <v>99.75</v>
      </c>
      <c r="C17" s="82" t="n">
        <v>146.59</v>
      </c>
      <c r="D17" s="82" t="n">
        <v>82.69</v>
      </c>
      <c r="E17" s="82" t="n">
        <v>107.5</v>
      </c>
    </row>
    <row r="18" ht="12" customHeight="1">
      <c r="A18" s="24" t="n">
        <v>66</v>
      </c>
      <c r="B18" s="82" t="n">
        <v>106.46</v>
      </c>
      <c r="C18" s="82" t="n">
        <v>155.29</v>
      </c>
      <c r="D18" s="82" t="n">
        <v>88.61</v>
      </c>
      <c r="E18" s="82" t="n">
        <v>115.05</v>
      </c>
    </row>
    <row r="19" ht="12" customHeight="1">
      <c r="A19" s="24" t="n">
        <v>67</v>
      </c>
      <c r="B19" s="82" t="n">
        <v>113.79</v>
      </c>
      <c r="C19" s="82" t="n">
        <v>165.56</v>
      </c>
      <c r="D19" s="82" t="n">
        <v>94.65000000000001</v>
      </c>
      <c r="E19" s="82" t="n">
        <v>122.74</v>
      </c>
    </row>
    <row r="20" ht="12" customHeight="1">
      <c r="A20" s="24" t="n">
        <v>68</v>
      </c>
      <c r="B20" s="82" t="n">
        <v>121.62</v>
      </c>
      <c r="C20" s="82" t="n">
        <v>175.74</v>
      </c>
      <c r="D20" s="82" t="n">
        <v>100.62</v>
      </c>
      <c r="E20" s="82" t="n">
        <v>130.3</v>
      </c>
    </row>
    <row r="21" ht="12" customHeight="1">
      <c r="A21" s="24" t="n">
        <v>69</v>
      </c>
      <c r="B21" s="82" t="n">
        <v>129.48</v>
      </c>
      <c r="C21" s="82" t="n">
        <v>185.9</v>
      </c>
      <c r="D21" s="82" t="n">
        <v>106.56</v>
      </c>
      <c r="E21" s="82" t="n">
        <v>139.72</v>
      </c>
    </row>
    <row r="22" ht="12" customHeight="1">
      <c r="A22" s="24" t="n">
        <v>70</v>
      </c>
      <c r="B22" s="82" t="n">
        <v>133.2</v>
      </c>
      <c r="C22" s="82" t="n">
        <v>190.71</v>
      </c>
      <c r="D22" s="82" t="n">
        <v>109.08</v>
      </c>
      <c r="E22" s="82" t="n">
        <v>143.89</v>
      </c>
    </row>
    <row r="23" ht="12" customHeight="1">
      <c r="A23" s="24" t="n">
        <v>71</v>
      </c>
      <c r="B23" s="82" t="n">
        <v>141.58</v>
      </c>
      <c r="C23" s="82" t="n">
        <v>201.14</v>
      </c>
      <c r="D23" s="82" t="n">
        <v>115.89</v>
      </c>
      <c r="E23" s="82" t="n">
        <v>152.54</v>
      </c>
    </row>
    <row r="24" ht="12" customHeight="1">
      <c r="A24" s="24" t="n">
        <v>72</v>
      </c>
      <c r="B24" s="82" t="n">
        <v>151.05</v>
      </c>
      <c r="C24" s="82" t="n">
        <v>212.92</v>
      </c>
      <c r="D24" s="82" t="n">
        <v>123.58</v>
      </c>
      <c r="E24" s="82" t="n">
        <v>162.31</v>
      </c>
    </row>
    <row r="25" ht="12" customHeight="1">
      <c r="A25" s="24" t="n">
        <v>73</v>
      </c>
      <c r="B25" s="82" t="n">
        <v>161.15</v>
      </c>
      <c r="C25" s="82" t="n">
        <v>225.91</v>
      </c>
      <c r="D25" s="82" t="n">
        <v>131.78</v>
      </c>
      <c r="E25" s="82" t="n">
        <v>173.52</v>
      </c>
    </row>
    <row r="26" ht="12" customHeight="1">
      <c r="A26" s="24" t="n">
        <v>74</v>
      </c>
      <c r="B26" s="82" t="n">
        <v>170.68</v>
      </c>
      <c r="C26" s="82" t="n">
        <v>238.15</v>
      </c>
      <c r="D26" s="82" t="n">
        <v>139.52</v>
      </c>
      <c r="E26" s="82" t="n">
        <v>184.95</v>
      </c>
    </row>
    <row r="27" ht="12" customHeight="1">
      <c r="A27" s="24" t="n">
        <v>75</v>
      </c>
      <c r="B27" s="82" t="n">
        <v>183.24</v>
      </c>
      <c r="C27" s="82" t="n">
        <v>255.41</v>
      </c>
      <c r="D27" s="82" t="n">
        <v>149.73</v>
      </c>
      <c r="E27" s="82" t="n">
        <v>199.91</v>
      </c>
    </row>
    <row r="28" ht="12" customHeight="1">
      <c r="A28" s="24" t="n">
        <v>76</v>
      </c>
      <c r="B28" s="82" t="n">
        <v>197.86</v>
      </c>
      <c r="C28" s="82" t="n">
        <v>271.5</v>
      </c>
      <c r="D28" s="82" t="n">
        <v>160.46</v>
      </c>
      <c r="E28" s="82" t="n">
        <v>219.34</v>
      </c>
    </row>
    <row r="29" ht="12" customHeight="1">
      <c r="A29" s="24" t="n">
        <v>77</v>
      </c>
      <c r="B29" s="82" t="n">
        <v>215.62</v>
      </c>
      <c r="C29" s="82" t="n">
        <v>280.96</v>
      </c>
      <c r="D29" s="82" t="n">
        <v>166.36</v>
      </c>
      <c r="E29" s="82" t="n">
        <v>229.32</v>
      </c>
    </row>
    <row r="30" ht="12" customHeight="1">
      <c r="A30" s="24" t="n">
        <v>78</v>
      </c>
      <c r="B30" s="82" t="n">
        <v>234.14</v>
      </c>
      <c r="C30" s="82" t="n">
        <v>299.45</v>
      </c>
      <c r="D30" s="82" t="n">
        <v>177.92</v>
      </c>
      <c r="E30" s="82" t="n">
        <v>248.83</v>
      </c>
    </row>
    <row r="31" ht="12" customHeight="1">
      <c r="A31" s="24" t="n">
        <v>79</v>
      </c>
      <c r="B31" s="82" t="n">
        <v>253.37</v>
      </c>
      <c r="C31" s="82" t="n">
        <v>319.42</v>
      </c>
      <c r="D31" s="82" t="n">
        <v>190.4</v>
      </c>
      <c r="E31" s="82" t="n">
        <v>268.69</v>
      </c>
    </row>
    <row r="32" ht="12" customHeight="1">
      <c r="A32" s="24" t="n">
        <v>80</v>
      </c>
      <c r="B32" s="82" t="n">
        <v>271.98</v>
      </c>
      <c r="C32" s="82" t="n">
        <v>337.76</v>
      </c>
      <c r="D32" s="82" t="n">
        <v>203.79</v>
      </c>
      <c r="E32" s="82" t="n">
        <v>287.23</v>
      </c>
    </row>
    <row r="33" ht="12" customHeight="1">
      <c r="A33" s="24" t="n">
        <v>81</v>
      </c>
      <c r="B33" s="82" t="n">
        <v>287.61</v>
      </c>
      <c r="C33" s="82" t="n">
        <v>362.12</v>
      </c>
      <c r="D33" s="82" t="n">
        <v>219.16</v>
      </c>
      <c r="E33" s="82" t="n">
        <v>312.71</v>
      </c>
    </row>
    <row r="34" ht="12" customHeight="1">
      <c r="A34" s="24" t="n">
        <v>82</v>
      </c>
      <c r="B34" s="82" t="n">
        <v>303.16</v>
      </c>
      <c r="C34" s="82" t="n">
        <v>389.82</v>
      </c>
      <c r="D34" s="82" t="n">
        <v>234.41</v>
      </c>
      <c r="E34" s="82" t="n">
        <v>341.67</v>
      </c>
    </row>
    <row r="35" ht="12" customHeight="1">
      <c r="A35" s="24" t="n">
        <v>83</v>
      </c>
      <c r="B35" s="82" t="n">
        <v>319.58</v>
      </c>
      <c r="C35" s="82" t="n">
        <v>415.13</v>
      </c>
      <c r="D35" s="82" t="n">
        <v>250.24</v>
      </c>
      <c r="E35" s="82" t="n">
        <v>372.16</v>
      </c>
    </row>
    <row r="36" ht="12" customHeight="1">
      <c r="A36" s="24" t="n">
        <v>84</v>
      </c>
      <c r="B36" s="82" t="n">
        <v>347.84</v>
      </c>
      <c r="C36" s="82" t="n">
        <v>448.15</v>
      </c>
      <c r="D36" s="82" t="n">
        <v>270.85</v>
      </c>
      <c r="E36" s="82" t="n">
        <v>406.99</v>
      </c>
    </row>
    <row r="37" ht="12" customHeight="1">
      <c r="A37" s="24" t="n">
        <v>85</v>
      </c>
      <c r="B37" s="82" t="n">
        <v>381.41</v>
      </c>
      <c r="C37" s="82" t="n">
        <v>487.35</v>
      </c>
      <c r="D37" s="82" t="n">
        <v>295.31</v>
      </c>
      <c r="E37" s="82" t="n">
        <v>448.38</v>
      </c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7" customWidth="1" min="1" max="1"/>
    <col width="15.28515625" customWidth="1" style="55" min="2" max="2"/>
    <col width="14.85546875" customWidth="1" style="55" min="3" max="3"/>
    <col width="14.7109375" customWidth="1" style="55" min="4" max="4"/>
    <col width="16.140625" customWidth="1" style="55" min="5" max="5"/>
    <col width="9.140625" customWidth="1" style="55" min="6" max="6"/>
    <col width="8.5703125" customWidth="1" style="55" min="7" max="26"/>
  </cols>
  <sheetData>
    <row r="1" ht="12.75" customHeight="1">
      <c r="A1" s="27" t="inlineStr">
        <is>
          <t>Age</t>
        </is>
      </c>
      <c r="B1" s="27" t="inlineStr">
        <is>
          <t>Male Non-Smoker</t>
        </is>
      </c>
      <c r="C1" s="27" t="inlineStr">
        <is>
          <t>Male Smoker</t>
        </is>
      </c>
      <c r="D1" s="27" t="inlineStr">
        <is>
          <t>Female Non-Smoker</t>
        </is>
      </c>
      <c r="E1" s="27" t="inlineStr">
        <is>
          <t>Female Smoker</t>
        </is>
      </c>
    </row>
    <row r="2" ht="12.75" customHeight="1">
      <c r="A2" s="12" t="n">
        <v>50</v>
      </c>
      <c r="B2" s="19" t="n">
        <v>36.98</v>
      </c>
      <c r="C2" s="19" t="n">
        <v>49.24</v>
      </c>
      <c r="D2" s="19" t="n">
        <v>28.46</v>
      </c>
      <c r="E2" s="19" t="n">
        <v>42.91</v>
      </c>
    </row>
    <row r="3" ht="12.75" customHeight="1">
      <c r="A3" s="12" t="n">
        <v>51</v>
      </c>
      <c r="B3" s="19" t="n">
        <v>38.83</v>
      </c>
      <c r="C3" s="19" t="n">
        <v>51.1</v>
      </c>
      <c r="D3" s="19" t="n">
        <v>29.31</v>
      </c>
      <c r="E3" s="19" t="n">
        <v>44.81</v>
      </c>
    </row>
    <row r="4" ht="12.75" customHeight="1">
      <c r="A4" s="12" t="n">
        <v>52</v>
      </c>
      <c r="B4" s="19" t="n">
        <v>40.77</v>
      </c>
      <c r="C4" s="19" t="n">
        <v>53.21</v>
      </c>
      <c r="D4" s="19" t="n">
        <v>30.19</v>
      </c>
      <c r="E4" s="19" t="n">
        <v>47.08</v>
      </c>
    </row>
    <row r="5" ht="12.75" customHeight="1">
      <c r="A5" s="12" t="n">
        <v>53</v>
      </c>
      <c r="B5" s="19" t="n">
        <v>42.41</v>
      </c>
      <c r="C5" s="19" t="n">
        <v>55.52</v>
      </c>
      <c r="D5" s="19" t="n">
        <v>31.1</v>
      </c>
      <c r="E5" s="19" t="n">
        <v>49.5</v>
      </c>
    </row>
    <row r="6" ht="12.75" customHeight="1">
      <c r="A6" s="12" t="n">
        <v>54</v>
      </c>
      <c r="B6" s="19" t="n">
        <v>44.1</v>
      </c>
      <c r="C6" s="19" t="n">
        <v>57.99</v>
      </c>
      <c r="D6" s="19" t="n">
        <v>32.03</v>
      </c>
      <c r="E6" s="19" t="n">
        <v>51.97</v>
      </c>
    </row>
    <row r="7" ht="12.75" customHeight="1">
      <c r="A7" s="12" t="n">
        <v>55</v>
      </c>
      <c r="B7" s="19" t="n">
        <v>45.42</v>
      </c>
      <c r="C7" s="19" t="n">
        <v>60.61</v>
      </c>
      <c r="D7" s="19" t="n">
        <v>32.99</v>
      </c>
      <c r="E7" s="19" t="n">
        <v>54.47</v>
      </c>
    </row>
    <row r="8" ht="12.75" customHeight="1">
      <c r="A8" s="12" t="n">
        <v>56</v>
      </c>
      <c r="B8" s="19" t="n">
        <v>45.88</v>
      </c>
      <c r="C8" s="19" t="n">
        <v>63.38</v>
      </c>
      <c r="D8" s="19" t="n">
        <v>33.98</v>
      </c>
      <c r="E8" s="19" t="n">
        <v>57.01</v>
      </c>
    </row>
    <row r="9" ht="12.75" customHeight="1">
      <c r="A9" s="12" t="n">
        <v>57</v>
      </c>
      <c r="B9" s="19" t="n">
        <v>46.34</v>
      </c>
      <c r="C9" s="19" t="n">
        <v>66.31</v>
      </c>
      <c r="D9" s="19" t="n">
        <v>35</v>
      </c>
      <c r="E9" s="19" t="n">
        <v>59.64</v>
      </c>
    </row>
    <row r="10" ht="12.75" customHeight="1">
      <c r="A10" s="12" t="n">
        <v>58</v>
      </c>
      <c r="B10" s="19" t="n">
        <v>47.26</v>
      </c>
      <c r="C10" s="19" t="n">
        <v>69.43000000000001</v>
      </c>
      <c r="D10" s="19" t="n">
        <v>36.05</v>
      </c>
      <c r="E10" s="19" t="n">
        <v>62.39</v>
      </c>
    </row>
    <row r="11" ht="12.75" customHeight="1">
      <c r="A11" s="12" t="n">
        <v>59</v>
      </c>
      <c r="B11" s="19" t="n">
        <v>48.68</v>
      </c>
      <c r="C11" s="19" t="n">
        <v>72.76000000000001</v>
      </c>
      <c r="D11" s="19" t="n">
        <v>37.49</v>
      </c>
      <c r="E11" s="19" t="n">
        <v>65.31</v>
      </c>
    </row>
    <row r="12" ht="12.75" customHeight="1">
      <c r="A12" s="12" t="n">
        <v>60</v>
      </c>
      <c r="B12" s="19" t="n">
        <v>50.63</v>
      </c>
      <c r="C12" s="19" t="n">
        <v>76.33</v>
      </c>
      <c r="D12" s="19" t="n">
        <v>38.99</v>
      </c>
      <c r="E12" s="19" t="n">
        <v>68.42</v>
      </c>
    </row>
    <row r="13" ht="12.75" customHeight="1">
      <c r="A13" s="12" t="n">
        <v>61</v>
      </c>
      <c r="B13" s="19" t="n">
        <v>53.46</v>
      </c>
      <c r="C13" s="19" t="n">
        <v>80.18000000000001</v>
      </c>
      <c r="D13" s="19" t="n">
        <v>40.03</v>
      </c>
      <c r="E13" s="19" t="n">
        <v>71.73999999999999</v>
      </c>
    </row>
    <row r="14" ht="12.75" customHeight="1">
      <c r="A14" s="12" t="n">
        <v>62</v>
      </c>
      <c r="B14" s="19" t="n">
        <v>56.23</v>
      </c>
      <c r="C14" s="19" t="n">
        <v>84.34</v>
      </c>
      <c r="D14" s="19" t="n">
        <v>41.44</v>
      </c>
      <c r="E14" s="19" t="n">
        <v>75.28</v>
      </c>
    </row>
    <row r="15" ht="12.75" customHeight="1">
      <c r="A15" s="12" t="n">
        <v>63</v>
      </c>
      <c r="B15" s="19" t="n">
        <v>59.02</v>
      </c>
      <c r="C15" s="19" t="n">
        <v>88.84999999999999</v>
      </c>
      <c r="D15" s="19" t="n">
        <v>43.17</v>
      </c>
      <c r="E15" s="19" t="n">
        <v>79</v>
      </c>
    </row>
    <row r="16" ht="12.75" customHeight="1">
      <c r="A16" s="12" t="n">
        <v>64</v>
      </c>
      <c r="B16" s="19" t="n">
        <v>61.9</v>
      </c>
      <c r="C16" s="19" t="n">
        <v>93.75</v>
      </c>
      <c r="D16" s="19" t="n">
        <v>45.18</v>
      </c>
      <c r="E16" s="19" t="n">
        <v>82.89</v>
      </c>
    </row>
    <row r="17" ht="12.75" customHeight="1">
      <c r="A17" s="12" t="n">
        <v>65</v>
      </c>
      <c r="B17" s="19" t="n">
        <v>64.92</v>
      </c>
      <c r="C17" s="19" t="n">
        <v>99.09</v>
      </c>
      <c r="D17" s="19" t="n">
        <v>47.45</v>
      </c>
      <c r="E17" s="19" t="n">
        <v>86.91</v>
      </c>
    </row>
    <row r="18" ht="12.75" customHeight="1">
      <c r="A18" s="12" t="n">
        <v>66</v>
      </c>
      <c r="B18" s="19" t="n">
        <v>68.16</v>
      </c>
      <c r="C18" s="19" t="n">
        <v>104.9</v>
      </c>
      <c r="D18" s="19" t="n">
        <v>49.97</v>
      </c>
      <c r="E18" s="19" t="n">
        <v>91.04000000000001</v>
      </c>
    </row>
    <row r="19" ht="12.75" customHeight="1">
      <c r="A19" s="12" t="n">
        <v>67</v>
      </c>
      <c r="B19" s="19" t="n">
        <v>71.7</v>
      </c>
      <c r="C19" s="19" t="n">
        <v>111.25</v>
      </c>
      <c r="D19" s="19" t="n">
        <v>52.73</v>
      </c>
      <c r="E19" s="19" t="n">
        <v>95.26000000000001</v>
      </c>
    </row>
    <row r="20" ht="12.75" customHeight="1">
      <c r="A20" s="12" t="n">
        <v>68</v>
      </c>
      <c r="B20" s="19" t="n">
        <v>75.59</v>
      </c>
      <c r="C20" s="19" t="n">
        <v>118.17</v>
      </c>
      <c r="D20" s="19" t="n">
        <v>55.76</v>
      </c>
      <c r="E20" s="19" t="n">
        <v>99.56999999999999</v>
      </c>
    </row>
    <row r="21" ht="12.75" customHeight="1">
      <c r="A21" s="12" t="n">
        <v>69</v>
      </c>
      <c r="B21" s="19" t="n">
        <v>79.91</v>
      </c>
      <c r="C21" s="19" t="n">
        <v>125.74</v>
      </c>
      <c r="D21" s="19" t="n">
        <v>59.08</v>
      </c>
      <c r="E21" s="19" t="n">
        <v>103.98</v>
      </c>
    </row>
    <row r="22" ht="12.75" customHeight="1">
      <c r="A22" s="12" t="n">
        <v>70</v>
      </c>
      <c r="B22" s="19" t="n">
        <v>84.73999999999999</v>
      </c>
      <c r="C22" s="19" t="n">
        <v>134.02</v>
      </c>
      <c r="D22" s="19" t="n">
        <v>62.74</v>
      </c>
      <c r="E22" s="19" t="n">
        <v>108.55</v>
      </c>
    </row>
    <row r="23" ht="12.75" customHeight="1">
      <c r="A23" s="12" t="n">
        <v>71</v>
      </c>
      <c r="B23" s="19" t="n">
        <v>90.14</v>
      </c>
      <c r="C23" s="19" t="n">
        <v>143.09</v>
      </c>
      <c r="D23" s="19" t="n">
        <v>66.79000000000001</v>
      </c>
      <c r="E23" s="19" t="n">
        <v>113.36</v>
      </c>
    </row>
    <row r="24" ht="12.75" customHeight="1">
      <c r="A24" s="12" t="n">
        <v>72</v>
      </c>
      <c r="B24" s="19" t="n">
        <v>96.19</v>
      </c>
      <c r="C24" s="19" t="n">
        <v>153.04</v>
      </c>
      <c r="D24" s="19" t="n">
        <v>71.3</v>
      </c>
      <c r="E24" s="19" t="n">
        <v>118.51</v>
      </c>
    </row>
    <row r="25" ht="12.75" customHeight="1">
      <c r="A25" s="12" t="n">
        <v>73</v>
      </c>
      <c r="B25" s="19" t="n">
        <v>102.97</v>
      </c>
      <c r="C25" s="19" t="n">
        <v>163.96</v>
      </c>
      <c r="D25" s="19" t="n">
        <v>76.34999999999999</v>
      </c>
      <c r="E25" s="19" t="n">
        <v>124.15</v>
      </c>
    </row>
    <row r="26" ht="12.75" customHeight="1">
      <c r="A26" s="12" t="n">
        <v>74</v>
      </c>
      <c r="B26" s="19" t="n">
        <v>110.54</v>
      </c>
      <c r="C26" s="19" t="n">
        <v>175.98</v>
      </c>
      <c r="D26" s="19" t="n">
        <v>82.04000000000001</v>
      </c>
      <c r="E26" s="19" t="n">
        <v>130.45</v>
      </c>
    </row>
    <row r="27" ht="12.75" customHeight="1">
      <c r="A27" s="12" t="n">
        <v>75</v>
      </c>
      <c r="B27" s="19" t="n">
        <v>118.98</v>
      </c>
      <c r="C27" s="19" t="n">
        <v>189.22</v>
      </c>
      <c r="D27" s="19" t="n">
        <v>88.48</v>
      </c>
      <c r="E27" s="19" t="n">
        <v>137.59</v>
      </c>
    </row>
    <row r="28" ht="12.75" customHeight="1">
      <c r="A28" s="12" t="n">
        <v>76</v>
      </c>
      <c r="B28" s="19" t="n">
        <v>128.37</v>
      </c>
      <c r="C28" s="19" t="n">
        <v>203.82</v>
      </c>
      <c r="D28" s="19" t="n">
        <v>95.78</v>
      </c>
      <c r="E28" s="19" t="n">
        <v>145.75</v>
      </c>
    </row>
    <row r="29" ht="12.75" customHeight="1">
      <c r="A29" s="12" t="n">
        <v>77</v>
      </c>
      <c r="B29" s="19" t="n">
        <v>138.79</v>
      </c>
      <c r="C29" s="19" t="n">
        <v>219.93</v>
      </c>
      <c r="D29" s="19" t="n">
        <v>104.09</v>
      </c>
      <c r="E29" s="19" t="n">
        <v>155.11</v>
      </c>
    </row>
    <row r="30" ht="12.75" customHeight="1">
      <c r="A30" s="12" t="n">
        <v>78</v>
      </c>
      <c r="B30" s="19" t="n">
        <v>150.31</v>
      </c>
      <c r="C30" s="19" t="n">
        <v>237.73</v>
      </c>
      <c r="D30" s="19" t="n">
        <v>113.55</v>
      </c>
      <c r="E30" s="19" t="n">
        <v>165.8</v>
      </c>
    </row>
    <row r="31" ht="12.75" customHeight="1">
      <c r="A31" s="12" t="n">
        <v>79</v>
      </c>
      <c r="B31" s="19" t="n">
        <v>163.01</v>
      </c>
      <c r="C31" s="19" t="n">
        <v>257.39</v>
      </c>
      <c r="D31" s="19" t="n">
        <v>124.32</v>
      </c>
      <c r="E31" s="19" t="n">
        <v>177.87</v>
      </c>
    </row>
    <row r="32" ht="12.75" customHeight="1">
      <c r="A32" s="12" t="n">
        <v>80</v>
      </c>
      <c r="B32" s="19" t="n">
        <v>176.97</v>
      </c>
      <c r="C32" s="19" t="n">
        <v>279.13</v>
      </c>
      <c r="D32" s="19" t="n">
        <v>136.58</v>
      </c>
      <c r="E32" s="19" t="n">
        <v>191.29</v>
      </c>
    </row>
    <row r="33" ht="12.75" customHeight="1">
      <c r="A33" s="12" t="n">
        <v>81</v>
      </c>
      <c r="B33" s="19" t="n">
        <v>191.13</v>
      </c>
      <c r="C33" s="19" t="n">
        <v>303.14</v>
      </c>
      <c r="D33" s="19" t="n">
        <v>148.87</v>
      </c>
      <c r="E33" s="19" t="n">
        <v>205.86</v>
      </c>
    </row>
    <row r="34" ht="12.75" customHeight="1">
      <c r="A34" s="12" t="n">
        <v>82</v>
      </c>
      <c r="B34" s="19" t="n">
        <v>206.42</v>
      </c>
      <c r="C34" s="19" t="n">
        <v>329.65</v>
      </c>
      <c r="D34" s="19" t="n">
        <v>160.78</v>
      </c>
      <c r="E34" s="19" t="n">
        <v>221.2</v>
      </c>
    </row>
    <row r="35" ht="12.75" customHeight="1">
      <c r="A35" s="12" t="n">
        <v>83</v>
      </c>
      <c r="B35" s="19" t="n">
        <v>222.93</v>
      </c>
      <c r="C35" s="19" t="n">
        <v>358.87</v>
      </c>
      <c r="D35" s="19" t="n">
        <v>172.04</v>
      </c>
      <c r="E35" s="19" t="n">
        <v>236.65</v>
      </c>
    </row>
    <row r="36" ht="12.75" customHeight="1">
      <c r="A36" s="12" t="n">
        <v>84</v>
      </c>
      <c r="B36" s="19" t="n">
        <v>240.77</v>
      </c>
      <c r="C36" s="19" t="n">
        <v>391.04</v>
      </c>
      <c r="D36" s="19" t="n">
        <v>184.08</v>
      </c>
      <c r="E36" s="19" t="n">
        <v>251.23</v>
      </c>
    </row>
    <row r="37" ht="12.75" customHeight="1">
      <c r="A37" s="12" t="n">
        <v>85</v>
      </c>
      <c r="B37" s="19" t="n">
        <v>260.03</v>
      </c>
      <c r="C37" s="19" t="n">
        <v>426.39</v>
      </c>
      <c r="D37" s="19" t="n">
        <v>195.12</v>
      </c>
      <c r="E37" s="19" t="n">
        <v>263.57</v>
      </c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32" min="1" max="1"/>
    <col width="13.85546875" customWidth="1" style="32" min="2" max="2"/>
    <col width="12" customWidth="1" style="32" min="3" max="3"/>
    <col width="15.42578125" customWidth="1" style="32" min="4" max="4"/>
    <col width="13.85546875" customWidth="1" style="32" min="5" max="5"/>
    <col width="9.140625" customWidth="1" style="32" min="6" max="6"/>
    <col width="8.5703125" customWidth="1" style="32" min="7" max="26"/>
  </cols>
  <sheetData>
    <row r="1" ht="12" customHeight="1">
      <c r="A1" s="27" t="inlineStr">
        <is>
          <t>Age</t>
        </is>
      </c>
      <c r="B1" s="27" t="inlineStr">
        <is>
          <t>Male Non-Smoker</t>
        </is>
      </c>
      <c r="C1" s="27" t="inlineStr">
        <is>
          <t>Male Smoker</t>
        </is>
      </c>
      <c r="D1" s="27" t="inlineStr">
        <is>
          <t>Female Non-Smoker</t>
        </is>
      </c>
      <c r="E1" s="27" t="inlineStr">
        <is>
          <t>Female Smoker</t>
        </is>
      </c>
    </row>
    <row r="2" ht="12" customHeight="1">
      <c r="A2" s="12" t="n">
        <v>50</v>
      </c>
      <c r="B2" s="19" t="n">
        <v>57.44</v>
      </c>
      <c r="C2" s="19" t="n">
        <v>81.81</v>
      </c>
      <c r="D2" s="19" t="n">
        <v>46.87</v>
      </c>
      <c r="E2" s="19" t="n">
        <v>73.42</v>
      </c>
    </row>
    <row r="3" ht="12" customHeight="1">
      <c r="A3" s="12" t="n">
        <v>51</v>
      </c>
      <c r="B3" s="19" t="n">
        <v>62.64</v>
      </c>
      <c r="C3" s="19" t="n">
        <v>86.58</v>
      </c>
      <c r="D3" s="19" t="n">
        <v>48.81</v>
      </c>
      <c r="E3" s="19" t="n">
        <v>78.28</v>
      </c>
    </row>
    <row r="4" ht="12" customHeight="1">
      <c r="A4" s="12" t="n">
        <v>52</v>
      </c>
      <c r="B4" s="19" t="n">
        <v>69.05</v>
      </c>
      <c r="C4" s="19" t="n">
        <v>91.34999999999999</v>
      </c>
      <c r="D4" s="19" t="n">
        <v>50.75</v>
      </c>
      <c r="E4" s="19" t="n">
        <v>83.14</v>
      </c>
    </row>
    <row r="5" ht="12" customHeight="1">
      <c r="A5" s="12" t="n">
        <v>53</v>
      </c>
      <c r="B5" s="19" t="n">
        <v>74.59999999999999</v>
      </c>
      <c r="C5" s="19" t="n">
        <v>96.12</v>
      </c>
      <c r="D5" s="19" t="n">
        <v>52.68</v>
      </c>
      <c r="E5" s="19" t="n">
        <v>88</v>
      </c>
    </row>
    <row r="6" ht="12" customHeight="1">
      <c r="A6" s="12" t="n">
        <v>54</v>
      </c>
      <c r="B6" s="19" t="n">
        <v>79.59</v>
      </c>
      <c r="C6" s="19" t="n">
        <v>100.89</v>
      </c>
      <c r="D6" s="19" t="n">
        <v>54.62</v>
      </c>
      <c r="E6" s="19" t="n">
        <v>92.86</v>
      </c>
    </row>
    <row r="7" ht="12" customHeight="1">
      <c r="A7" s="12" t="n">
        <v>55</v>
      </c>
      <c r="B7" s="19" t="n">
        <v>83.45</v>
      </c>
      <c r="C7" s="19" t="n">
        <v>105.66</v>
      </c>
      <c r="D7" s="19" t="n">
        <v>56.56</v>
      </c>
      <c r="E7" s="19" t="n">
        <v>97.72</v>
      </c>
    </row>
    <row r="8" ht="12" customHeight="1">
      <c r="A8" s="12" t="n">
        <v>56</v>
      </c>
      <c r="B8" s="19" t="n">
        <v>86.13</v>
      </c>
      <c r="C8" s="19" t="n">
        <v>111.5</v>
      </c>
      <c r="D8" s="19" t="n">
        <v>58.44</v>
      </c>
      <c r="E8" s="19" t="n">
        <v>102.91</v>
      </c>
    </row>
    <row r="9" ht="12" customHeight="1">
      <c r="A9" s="12" t="n">
        <v>57</v>
      </c>
      <c r="B9" s="19" t="n">
        <v>88.12</v>
      </c>
      <c r="C9" s="19" t="n">
        <v>117.34</v>
      </c>
      <c r="D9" s="19" t="n">
        <v>60.33</v>
      </c>
      <c r="E9" s="19" t="n">
        <v>108.1</v>
      </c>
    </row>
    <row r="10" ht="12" customHeight="1">
      <c r="A10" s="12" t="n">
        <v>58</v>
      </c>
      <c r="B10" s="19" t="n">
        <v>89.47</v>
      </c>
      <c r="C10" s="19" t="n">
        <v>123.18</v>
      </c>
      <c r="D10" s="19" t="n">
        <v>62.21</v>
      </c>
      <c r="E10" s="19" t="n">
        <v>113.3</v>
      </c>
    </row>
    <row r="11" ht="12" customHeight="1">
      <c r="A11" s="12" t="n">
        <v>59</v>
      </c>
      <c r="B11" s="19" t="n">
        <v>90.23</v>
      </c>
      <c r="C11" s="19" t="n">
        <v>129.02</v>
      </c>
      <c r="D11" s="19" t="n">
        <v>64.09999999999999</v>
      </c>
      <c r="E11" s="19" t="n">
        <v>118.49</v>
      </c>
    </row>
    <row r="12" ht="12" customHeight="1">
      <c r="A12" s="12" t="n">
        <v>60</v>
      </c>
      <c r="B12" s="19" t="n">
        <v>90.45</v>
      </c>
      <c r="C12" s="19" t="n">
        <v>134.86</v>
      </c>
      <c r="D12" s="19" t="n">
        <v>65.98</v>
      </c>
      <c r="E12" s="19" t="n">
        <v>123.68</v>
      </c>
    </row>
    <row r="13" ht="12" customHeight="1">
      <c r="A13" s="12" t="n">
        <v>61</v>
      </c>
      <c r="B13" s="19" t="n">
        <v>91.31</v>
      </c>
      <c r="C13" s="19" t="n">
        <v>143.12</v>
      </c>
      <c r="D13" s="19" t="n">
        <v>68.48999999999999</v>
      </c>
      <c r="E13" s="19" t="n">
        <v>131.61</v>
      </c>
    </row>
    <row r="14" ht="12" customHeight="1">
      <c r="A14" s="12" t="n">
        <v>62</v>
      </c>
      <c r="B14" s="19" t="n">
        <v>92.18000000000001</v>
      </c>
      <c r="C14" s="19" t="n">
        <v>151.37</v>
      </c>
      <c r="D14" s="19" t="n">
        <v>71.01000000000001</v>
      </c>
      <c r="E14" s="19" t="n">
        <v>139.53</v>
      </c>
    </row>
    <row r="15" ht="12" customHeight="1">
      <c r="A15" s="12" t="n">
        <v>63</v>
      </c>
      <c r="B15" s="19" t="n">
        <v>93.04000000000001</v>
      </c>
      <c r="C15" s="19" t="n">
        <v>159.63</v>
      </c>
      <c r="D15" s="19" t="n">
        <v>73.51000000000001</v>
      </c>
      <c r="E15" s="19" t="n">
        <v>147.46</v>
      </c>
    </row>
    <row r="16" ht="12" customHeight="1">
      <c r="A16" s="12" t="n">
        <v>64</v>
      </c>
      <c r="B16" s="19" t="n">
        <v>93.91</v>
      </c>
      <c r="C16" s="19" t="n">
        <v>167.88</v>
      </c>
      <c r="D16" s="19" t="n">
        <v>76.04000000000001</v>
      </c>
      <c r="E16" s="19" t="n">
        <v>155.38</v>
      </c>
    </row>
    <row r="17" ht="12" customHeight="1">
      <c r="A17" s="12" t="n">
        <v>65</v>
      </c>
      <c r="B17" s="19" t="n">
        <v>94.77</v>
      </c>
      <c r="C17" s="19" t="n">
        <v>176.14</v>
      </c>
      <c r="D17" s="19" t="n">
        <v>78.55</v>
      </c>
      <c r="E17" s="19" t="n">
        <v>163.31</v>
      </c>
    </row>
    <row r="18" ht="12" customHeight="1">
      <c r="A18" s="12" t="n">
        <v>66</v>
      </c>
      <c r="B18" s="19" t="n">
        <v>101.51</v>
      </c>
      <c r="C18" s="19" t="n">
        <v>187.24</v>
      </c>
      <c r="D18" s="19" t="n">
        <v>83.73999999999999</v>
      </c>
      <c r="E18" s="19" t="n">
        <v>171.92</v>
      </c>
    </row>
    <row r="19" ht="12" customHeight="1">
      <c r="A19" s="12" t="n">
        <v>67</v>
      </c>
      <c r="B19" s="19" t="n">
        <v>108.25</v>
      </c>
      <c r="C19" s="19" t="n">
        <v>198.34</v>
      </c>
      <c r="D19" s="19" t="n">
        <v>88.94</v>
      </c>
      <c r="E19" s="19" t="n">
        <v>180.53</v>
      </c>
    </row>
    <row r="20" ht="12" customHeight="1">
      <c r="A20" s="12" t="n">
        <v>68</v>
      </c>
      <c r="B20" s="19" t="n">
        <v>114.98</v>
      </c>
      <c r="C20" s="19" t="n">
        <v>209.44</v>
      </c>
      <c r="D20" s="19" t="n">
        <v>94.13</v>
      </c>
      <c r="E20" s="19" t="n">
        <v>189.13</v>
      </c>
    </row>
    <row r="21" ht="12" customHeight="1">
      <c r="A21" s="12" t="n">
        <v>69</v>
      </c>
      <c r="B21" s="19" t="n">
        <v>121.72</v>
      </c>
      <c r="C21" s="19" t="n">
        <v>220.54</v>
      </c>
      <c r="D21" s="19" t="n">
        <v>99.33</v>
      </c>
      <c r="E21" s="19" t="n">
        <v>197.74</v>
      </c>
    </row>
    <row r="22" ht="12" customHeight="1">
      <c r="A22" s="12" t="n">
        <v>70</v>
      </c>
      <c r="B22" s="19" t="n">
        <v>128.46</v>
      </c>
      <c r="C22" s="19" t="n">
        <v>231.64</v>
      </c>
      <c r="D22" s="19" t="n">
        <v>104.52</v>
      </c>
      <c r="E22" s="19" t="n">
        <v>206.35</v>
      </c>
    </row>
    <row r="23" ht="12" customHeight="1">
      <c r="A23" s="12" t="n">
        <v>71</v>
      </c>
      <c r="B23" s="19" t="n">
        <v>138.46</v>
      </c>
      <c r="C23" s="19" t="n">
        <v>248.95</v>
      </c>
      <c r="D23" s="19" t="n">
        <v>111.76</v>
      </c>
      <c r="E23" s="19" t="n">
        <v>215.85</v>
      </c>
    </row>
    <row r="24" ht="12" customHeight="1">
      <c r="A24" s="12" t="n">
        <v>72</v>
      </c>
      <c r="B24" s="19" t="n">
        <v>148.46</v>
      </c>
      <c r="C24" s="19" t="n">
        <v>266.26</v>
      </c>
      <c r="D24" s="19" t="n">
        <v>118.99</v>
      </c>
      <c r="E24" s="19" t="n">
        <v>225.35</v>
      </c>
    </row>
    <row r="25" ht="12" customHeight="1">
      <c r="A25" s="12" t="n">
        <v>73</v>
      </c>
      <c r="B25" s="19" t="n">
        <v>158.46</v>
      </c>
      <c r="C25" s="19" t="n">
        <v>283.56</v>
      </c>
      <c r="D25" s="19" t="n">
        <v>126.23</v>
      </c>
      <c r="E25" s="19" t="n">
        <v>234.84</v>
      </c>
    </row>
    <row r="26" ht="12" customHeight="1">
      <c r="A26" s="12" t="n">
        <v>74</v>
      </c>
      <c r="B26" s="19" t="n">
        <v>168.46</v>
      </c>
      <c r="C26" s="19" t="n">
        <v>300.87</v>
      </c>
      <c r="D26" s="19" t="n">
        <v>133.46</v>
      </c>
      <c r="E26" s="19" t="n">
        <v>244.34</v>
      </c>
    </row>
    <row r="27" ht="12" customHeight="1">
      <c r="A27" s="12" t="n">
        <v>75</v>
      </c>
      <c r="B27" s="19" t="n">
        <v>178.46</v>
      </c>
      <c r="C27" s="19" t="n">
        <v>318.18</v>
      </c>
      <c r="D27" s="19" t="n">
        <v>140.7</v>
      </c>
      <c r="E27" s="19" t="n">
        <v>253.84</v>
      </c>
    </row>
    <row r="28" ht="12" customHeight="1">
      <c r="A28" s="12" t="n">
        <v>76</v>
      </c>
      <c r="B28" s="19" t="n">
        <v>193.2</v>
      </c>
      <c r="C28" s="19" t="n">
        <v>351.84</v>
      </c>
      <c r="D28" s="19" t="n">
        <v>153.14</v>
      </c>
      <c r="E28" s="19" t="n">
        <v>274.87</v>
      </c>
    </row>
    <row r="29" ht="12" customHeight="1">
      <c r="A29" s="12" t="n">
        <v>77</v>
      </c>
      <c r="B29" s="19" t="n">
        <v>207.95</v>
      </c>
      <c r="C29" s="19" t="n">
        <v>385.51</v>
      </c>
      <c r="D29" s="19" t="n">
        <v>165.58</v>
      </c>
      <c r="E29" s="19" t="n">
        <v>295.89</v>
      </c>
    </row>
    <row r="30" ht="12" customHeight="1">
      <c r="A30" s="12" t="n">
        <v>78</v>
      </c>
      <c r="B30" s="19" t="n">
        <v>222.69</v>
      </c>
      <c r="C30" s="19" t="n">
        <v>419.17</v>
      </c>
      <c r="D30" s="19" t="n">
        <v>178.02</v>
      </c>
      <c r="E30" s="19" t="n">
        <v>316.92</v>
      </c>
    </row>
    <row r="31" ht="12" customHeight="1">
      <c r="A31" s="12" t="n">
        <v>79</v>
      </c>
      <c r="B31" s="19" t="n">
        <v>237.44</v>
      </c>
      <c r="C31" s="19" t="n">
        <v>452.84</v>
      </c>
      <c r="D31" s="19" t="n">
        <v>190.46</v>
      </c>
      <c r="E31" s="19" t="n">
        <v>337.94</v>
      </c>
    </row>
    <row r="32" ht="12" customHeight="1">
      <c r="A32" s="12" t="n">
        <v>80</v>
      </c>
      <c r="B32" s="19" t="n">
        <v>252.18</v>
      </c>
      <c r="C32" s="19" t="n">
        <v>486.5</v>
      </c>
      <c r="D32" s="19" t="n">
        <v>202.9</v>
      </c>
      <c r="E32" s="19" t="n">
        <v>358.97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32" min="1" max="1"/>
    <col width="13.42578125" customWidth="1" style="32" min="2" max="2"/>
    <col width="14.42578125" customWidth="1" style="32" min="3" max="3"/>
    <col width="14.7109375" customWidth="1" style="32" min="4" max="4"/>
    <col width="15" customWidth="1" style="32" min="5" max="5"/>
    <col width="9.140625" customWidth="1" style="32" min="6" max="6"/>
    <col width="8.5703125" customWidth="1" style="32" min="7" max="26"/>
  </cols>
  <sheetData>
    <row r="1" ht="12" customHeight="1">
      <c r="A1" s="27" t="inlineStr">
        <is>
          <t>Age</t>
        </is>
      </c>
      <c r="B1" s="27" t="inlineStr">
        <is>
          <t>Male Non-Smoker</t>
        </is>
      </c>
      <c r="C1" s="27" t="inlineStr">
        <is>
          <t>Male Smoker</t>
        </is>
      </c>
      <c r="D1" s="27" t="inlineStr">
        <is>
          <t>Female Non-Smoker</t>
        </is>
      </c>
      <c r="E1" s="27" t="inlineStr">
        <is>
          <t>Female Smoker</t>
        </is>
      </c>
    </row>
    <row r="2" ht="12" customHeight="1">
      <c r="A2" s="24" t="n">
        <v>50</v>
      </c>
      <c r="B2" s="56" t="n">
        <v>42.58</v>
      </c>
      <c r="C2" s="56" t="n">
        <v>56.54</v>
      </c>
      <c r="D2" s="56" t="n">
        <v>35.7</v>
      </c>
      <c r="E2" s="56" t="n">
        <v>50.35</v>
      </c>
    </row>
    <row r="3" ht="12" customHeight="1">
      <c r="A3" s="24" t="n">
        <v>51</v>
      </c>
      <c r="B3" s="56" t="n">
        <v>44.1</v>
      </c>
      <c r="C3" s="56" t="n">
        <v>58.64</v>
      </c>
      <c r="D3" s="56" t="n">
        <v>36.59</v>
      </c>
      <c r="E3" s="56" t="n">
        <v>51.66</v>
      </c>
    </row>
    <row r="4" ht="12" customHeight="1">
      <c r="A4" s="24" t="n">
        <v>52</v>
      </c>
      <c r="B4" s="56" t="n">
        <v>45.62</v>
      </c>
      <c r="C4" s="56" t="n">
        <v>60.74</v>
      </c>
      <c r="D4" s="56" t="n">
        <v>37.49</v>
      </c>
      <c r="E4" s="56" t="n">
        <v>52.97</v>
      </c>
    </row>
    <row r="5" ht="12" customHeight="1">
      <c r="A5" s="24" t="n">
        <v>53</v>
      </c>
      <c r="B5" s="56" t="n">
        <v>47.2</v>
      </c>
      <c r="C5" s="56" t="n">
        <v>62.9</v>
      </c>
      <c r="D5" s="56" t="n">
        <v>38.38</v>
      </c>
      <c r="E5" s="56" t="n">
        <v>54.34</v>
      </c>
    </row>
    <row r="6" ht="12" customHeight="1">
      <c r="A6" s="24" t="n">
        <v>54</v>
      </c>
      <c r="B6" s="56" t="n">
        <v>48.72</v>
      </c>
      <c r="C6" s="56" t="n">
        <v>65</v>
      </c>
      <c r="D6" s="56" t="n">
        <v>39.27</v>
      </c>
      <c r="E6" s="56" t="n">
        <v>55.65</v>
      </c>
    </row>
    <row r="7" ht="12" customHeight="1">
      <c r="A7" s="24" t="n">
        <v>55</v>
      </c>
      <c r="B7" s="56" t="n">
        <v>50.24</v>
      </c>
      <c r="C7" s="56" t="n">
        <v>67.09999999999999</v>
      </c>
      <c r="D7" s="56" t="n">
        <v>40.16</v>
      </c>
      <c r="E7" s="56" t="n">
        <v>56.96</v>
      </c>
    </row>
    <row r="8" ht="12" customHeight="1">
      <c r="A8" s="24" t="n">
        <v>56</v>
      </c>
      <c r="B8" s="56" t="n">
        <v>51.14</v>
      </c>
      <c r="C8" s="56" t="n">
        <v>68.56999999999999</v>
      </c>
      <c r="D8" s="56" t="n">
        <v>40.32</v>
      </c>
      <c r="E8" s="56" t="n">
        <v>57.33</v>
      </c>
    </row>
    <row r="9" ht="12" customHeight="1">
      <c r="A9" s="24" t="n">
        <v>57</v>
      </c>
      <c r="B9" s="56" t="n">
        <v>51.98</v>
      </c>
      <c r="C9" s="56" t="n">
        <v>70.09</v>
      </c>
      <c r="D9" s="56" t="n">
        <v>40.48</v>
      </c>
      <c r="E9" s="56" t="n">
        <v>57.7</v>
      </c>
    </row>
    <row r="10" ht="12" customHeight="1">
      <c r="A10" s="24" t="n">
        <v>58</v>
      </c>
      <c r="B10" s="56" t="n">
        <v>52.87</v>
      </c>
      <c r="C10" s="56" t="n">
        <v>71.56</v>
      </c>
      <c r="D10" s="56" t="n">
        <v>40.64</v>
      </c>
      <c r="E10" s="56" t="n">
        <v>58.07</v>
      </c>
    </row>
    <row r="11" ht="12" customHeight="1">
      <c r="A11" s="24" t="n">
        <v>59</v>
      </c>
      <c r="B11" s="56" t="n">
        <v>53.71</v>
      </c>
      <c r="C11" s="56" t="n">
        <v>73.08</v>
      </c>
      <c r="D11" s="56" t="n">
        <v>40.79</v>
      </c>
      <c r="E11" s="56" t="n">
        <v>58.43</v>
      </c>
    </row>
    <row r="12" ht="12" customHeight="1">
      <c r="A12" s="24" t="n">
        <v>60</v>
      </c>
      <c r="B12" s="56" t="n">
        <v>54.6</v>
      </c>
      <c r="C12" s="56" t="n">
        <v>74.55</v>
      </c>
      <c r="D12" s="56" t="n">
        <v>40.95</v>
      </c>
      <c r="E12" s="56" t="n">
        <v>58.8</v>
      </c>
    </row>
    <row r="13" ht="12" customHeight="1">
      <c r="A13" s="24" t="n">
        <v>61</v>
      </c>
      <c r="B13" s="56" t="n">
        <v>56.6</v>
      </c>
      <c r="C13" s="56" t="n">
        <v>78.12</v>
      </c>
      <c r="D13" s="56" t="n">
        <v>42.42</v>
      </c>
      <c r="E13" s="56" t="n">
        <v>60.95</v>
      </c>
    </row>
    <row r="14" ht="12" customHeight="1">
      <c r="A14" s="24" t="n">
        <v>62</v>
      </c>
      <c r="B14" s="56" t="n">
        <v>58.59</v>
      </c>
      <c r="C14" s="56" t="n">
        <v>81.69</v>
      </c>
      <c r="D14" s="56" t="n">
        <v>43.89</v>
      </c>
      <c r="E14" s="56" t="n">
        <v>63.11</v>
      </c>
    </row>
    <row r="15" ht="12" customHeight="1">
      <c r="A15" s="24" t="n">
        <v>63</v>
      </c>
      <c r="B15" s="56" t="n">
        <v>60.59</v>
      </c>
      <c r="C15" s="56" t="n">
        <v>85.26000000000001</v>
      </c>
      <c r="D15" s="56" t="n">
        <v>45.36</v>
      </c>
      <c r="E15" s="56" t="n">
        <v>65.20999999999999</v>
      </c>
    </row>
    <row r="16" ht="12" customHeight="1">
      <c r="A16" s="24" t="n">
        <v>64</v>
      </c>
      <c r="B16" s="56" t="n">
        <v>62.58</v>
      </c>
      <c r="C16" s="56" t="n">
        <v>88.83</v>
      </c>
      <c r="D16" s="56" t="n">
        <v>46.83</v>
      </c>
      <c r="E16" s="56" t="n">
        <v>67.36</v>
      </c>
    </row>
    <row r="17" ht="12" customHeight="1">
      <c r="A17" s="24" t="n">
        <v>65</v>
      </c>
      <c r="B17" s="56" t="n">
        <v>64.58</v>
      </c>
      <c r="C17" s="56" t="n">
        <v>92.40000000000001</v>
      </c>
      <c r="D17" s="56" t="n">
        <v>48.3</v>
      </c>
      <c r="E17" s="56" t="n">
        <v>69.51000000000001</v>
      </c>
    </row>
    <row r="18" ht="12" customHeight="1">
      <c r="A18" s="24" t="n">
        <v>66</v>
      </c>
      <c r="B18" s="56" t="n">
        <v>68.25</v>
      </c>
      <c r="C18" s="56" t="n">
        <v>98.7</v>
      </c>
      <c r="D18" s="56" t="n">
        <v>50.82</v>
      </c>
      <c r="E18" s="56" t="n">
        <v>73.03</v>
      </c>
    </row>
    <row r="19" ht="12" customHeight="1">
      <c r="A19" s="24" t="n">
        <v>67</v>
      </c>
      <c r="B19" s="56" t="n">
        <v>71.93000000000001</v>
      </c>
      <c r="C19" s="56" t="n">
        <v>105</v>
      </c>
      <c r="D19" s="56" t="n">
        <v>53.34</v>
      </c>
      <c r="E19" s="56" t="n">
        <v>76.55</v>
      </c>
    </row>
    <row r="20" ht="12" customHeight="1">
      <c r="A20" s="24" t="n">
        <v>68</v>
      </c>
      <c r="B20" s="56" t="n">
        <v>75.59999999999999</v>
      </c>
      <c r="C20" s="56" t="n">
        <v>111.3</v>
      </c>
      <c r="D20" s="56" t="n">
        <v>55.86</v>
      </c>
      <c r="E20" s="56" t="n">
        <v>80.12</v>
      </c>
    </row>
    <row r="21" ht="12" customHeight="1">
      <c r="A21" s="24" t="n">
        <v>69</v>
      </c>
      <c r="B21" s="56" t="n">
        <v>79.28</v>
      </c>
      <c r="C21" s="56" t="n">
        <v>117.6</v>
      </c>
      <c r="D21" s="56" t="n">
        <v>58.38</v>
      </c>
      <c r="E21" s="56" t="n">
        <v>83.63</v>
      </c>
    </row>
    <row r="22" ht="12" customHeight="1">
      <c r="A22" s="24" t="n">
        <v>70</v>
      </c>
      <c r="B22" s="56" t="n">
        <v>82.95</v>
      </c>
      <c r="C22" s="56" t="n">
        <v>123.9</v>
      </c>
      <c r="D22" s="56" t="n">
        <v>60.9</v>
      </c>
      <c r="E22" s="56" t="n">
        <v>87.15000000000001</v>
      </c>
    </row>
    <row r="23" ht="12" customHeight="1">
      <c r="A23" s="24" t="n">
        <v>71</v>
      </c>
      <c r="B23" s="56" t="n">
        <v>91.14</v>
      </c>
      <c r="C23" s="56" t="n">
        <v>134.61</v>
      </c>
      <c r="D23" s="56" t="n">
        <v>66.47</v>
      </c>
      <c r="E23" s="56" t="n">
        <v>93.34999999999999</v>
      </c>
    </row>
    <row r="24" ht="12" customHeight="1">
      <c r="A24" s="24" t="n">
        <v>72</v>
      </c>
      <c r="B24" s="56" t="n">
        <v>99.33</v>
      </c>
      <c r="C24" s="56" t="n">
        <v>145.32</v>
      </c>
      <c r="D24" s="56" t="n">
        <v>72.03</v>
      </c>
      <c r="E24" s="56" t="n">
        <v>99.54000000000001</v>
      </c>
    </row>
    <row r="25" ht="12" customHeight="1">
      <c r="A25" s="24" t="n">
        <v>73</v>
      </c>
      <c r="B25" s="56" t="n">
        <v>107.52</v>
      </c>
      <c r="C25" s="56" t="n">
        <v>156.03</v>
      </c>
      <c r="D25" s="56" t="n">
        <v>77.59999999999999</v>
      </c>
      <c r="E25" s="56" t="n">
        <v>105.74</v>
      </c>
    </row>
    <row r="26" ht="12" customHeight="1">
      <c r="A26" s="24" t="n">
        <v>74</v>
      </c>
      <c r="B26" s="56" t="n">
        <v>115.71</v>
      </c>
      <c r="C26" s="56" t="n">
        <v>166.74</v>
      </c>
      <c r="D26" s="56" t="n">
        <v>83.16</v>
      </c>
      <c r="E26" s="56" t="n">
        <v>111.93</v>
      </c>
    </row>
    <row r="27" ht="12" customHeight="1">
      <c r="A27" s="24" t="n">
        <v>75</v>
      </c>
      <c r="B27" s="56" t="n">
        <v>123.9</v>
      </c>
      <c r="C27" s="56" t="n">
        <v>177.45</v>
      </c>
      <c r="D27" s="56" t="n">
        <v>88.73</v>
      </c>
      <c r="E27" s="56" t="n">
        <v>118.13</v>
      </c>
    </row>
    <row r="28" ht="12" customHeight="1">
      <c r="A28" s="24" t="n">
        <v>76</v>
      </c>
      <c r="B28" s="56" t="n">
        <v>133.88</v>
      </c>
      <c r="C28" s="56" t="n">
        <v>188.79</v>
      </c>
      <c r="D28" s="56" t="n">
        <v>95.76000000000001</v>
      </c>
      <c r="E28" s="56" t="n">
        <v>126.42</v>
      </c>
    </row>
    <row r="29" ht="12" customHeight="1">
      <c r="A29" s="24" t="n">
        <v>77</v>
      </c>
      <c r="B29" s="56" t="n">
        <v>143.85</v>
      </c>
      <c r="C29" s="56" t="n">
        <v>200.13</v>
      </c>
      <c r="D29" s="56" t="n">
        <v>102.8</v>
      </c>
      <c r="E29" s="56" t="n">
        <v>134.72</v>
      </c>
    </row>
    <row r="30" ht="12" customHeight="1">
      <c r="A30" s="24" t="n">
        <v>78</v>
      </c>
      <c r="B30" s="56" t="n">
        <v>153.83</v>
      </c>
      <c r="C30" s="56" t="n">
        <v>211.47</v>
      </c>
      <c r="D30" s="56" t="n">
        <v>109.83</v>
      </c>
      <c r="E30" s="56" t="n">
        <v>143.01</v>
      </c>
    </row>
    <row r="31" ht="12" customHeight="1">
      <c r="A31" s="24" t="n">
        <v>79</v>
      </c>
      <c r="B31" s="56" t="n">
        <v>163.8</v>
      </c>
      <c r="C31" s="56" t="n">
        <v>222.81</v>
      </c>
      <c r="D31" s="56" t="n">
        <v>116.87</v>
      </c>
      <c r="E31" s="56" t="n">
        <v>151.31</v>
      </c>
    </row>
    <row r="32" ht="12" customHeight="1">
      <c r="A32" s="24" t="n">
        <v>80</v>
      </c>
      <c r="B32" s="56" t="n">
        <v>173.78</v>
      </c>
      <c r="C32" s="56" t="n">
        <v>234.15</v>
      </c>
      <c r="D32" s="56" t="n">
        <v>123.9</v>
      </c>
      <c r="E32" s="56" t="n">
        <v>159.6</v>
      </c>
    </row>
    <row r="33" ht="12" customHeight="1">
      <c r="A33" s="24" t="n">
        <v>81</v>
      </c>
      <c r="B33" s="56" t="n">
        <v>187.32</v>
      </c>
      <c r="C33" s="56" t="n">
        <v>252.63</v>
      </c>
      <c r="D33" s="56" t="n">
        <v>132.72</v>
      </c>
      <c r="E33" s="56" t="n">
        <v>171.36</v>
      </c>
    </row>
    <row r="34" ht="12" customHeight="1">
      <c r="A34" s="24" t="n">
        <v>82</v>
      </c>
      <c r="B34" s="56" t="n">
        <v>200.87</v>
      </c>
      <c r="C34" s="56" t="n">
        <v>271.11</v>
      </c>
      <c r="D34" s="56" t="n">
        <v>141.54</v>
      </c>
      <c r="E34" s="56" t="n">
        <v>183.12</v>
      </c>
    </row>
    <row r="35" ht="12" customHeight="1">
      <c r="A35" s="24" t="n">
        <v>83</v>
      </c>
      <c r="B35" s="56" t="n">
        <v>214.41</v>
      </c>
      <c r="C35" s="56" t="n">
        <v>289.59</v>
      </c>
      <c r="D35" s="56" t="n">
        <v>150.36</v>
      </c>
      <c r="E35" s="56" t="n">
        <v>194.88</v>
      </c>
    </row>
    <row r="36" ht="12" customHeight="1">
      <c r="A36" s="24" t="n">
        <v>84</v>
      </c>
      <c r="B36" s="56" t="n">
        <v>227.96</v>
      </c>
      <c r="C36" s="56" t="n">
        <v>308.07</v>
      </c>
      <c r="D36" s="56" t="n">
        <v>159.18</v>
      </c>
      <c r="E36" s="56" t="n">
        <v>206.64</v>
      </c>
    </row>
    <row r="37" ht="12" customHeight="1">
      <c r="A37" s="24" t="n">
        <v>85</v>
      </c>
      <c r="B37" s="56" t="n">
        <v>241.5</v>
      </c>
      <c r="C37" s="56" t="n">
        <v>326.55</v>
      </c>
      <c r="D37" s="56" t="n">
        <v>168</v>
      </c>
      <c r="E37" s="56" t="n">
        <v>218.4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32" min="1" max="1"/>
    <col width="14.140625" customWidth="1" style="32" min="2" max="2"/>
    <col width="12.7109375" customWidth="1" style="32" min="3" max="3"/>
    <col width="15.7109375" customWidth="1" style="32" min="4" max="4"/>
    <col width="14.5703125" customWidth="1" style="32" min="5" max="5"/>
    <col width="9.140625" customWidth="1" style="32" min="6" max="6"/>
    <col width="8.5703125" customWidth="1" style="32" min="7" max="26"/>
  </cols>
  <sheetData>
    <row r="1" ht="12" customHeight="1">
      <c r="A1" s="27" t="inlineStr">
        <is>
          <t>Age</t>
        </is>
      </c>
      <c r="B1" s="27" t="inlineStr">
        <is>
          <t>Male Non-Smoker</t>
        </is>
      </c>
      <c r="C1" s="27" t="inlineStr">
        <is>
          <t>Male Smoker</t>
        </is>
      </c>
      <c r="D1" s="27" t="inlineStr">
        <is>
          <t>Female Non-Smoker</t>
        </is>
      </c>
      <c r="E1" s="27" t="inlineStr">
        <is>
          <t>Female Smoker</t>
        </is>
      </c>
    </row>
    <row r="2" ht="12" customHeight="1">
      <c r="A2" s="12" t="n">
        <v>50</v>
      </c>
      <c r="B2" s="57" t="n">
        <v>63.89</v>
      </c>
      <c r="C2" s="57" t="n">
        <v>75.92</v>
      </c>
      <c r="D2" s="57" t="n">
        <v>50.09</v>
      </c>
      <c r="E2" s="57" t="n">
        <v>56.28</v>
      </c>
    </row>
    <row r="3" ht="12" customHeight="1">
      <c r="A3" s="34" t="n">
        <v>51</v>
      </c>
      <c r="B3" s="58" t="n">
        <v>65.42</v>
      </c>
      <c r="C3" s="58" t="n">
        <v>77.86</v>
      </c>
      <c r="D3" s="58" t="n">
        <v>51.19</v>
      </c>
      <c r="E3" s="58" t="n">
        <v>58.01</v>
      </c>
    </row>
    <row r="4" ht="12" customHeight="1">
      <c r="A4" s="34" t="n">
        <v>52</v>
      </c>
      <c r="B4" s="58" t="n">
        <v>66.94</v>
      </c>
      <c r="C4" s="58" t="n">
        <v>79.8</v>
      </c>
      <c r="D4" s="58" t="n">
        <v>52.29</v>
      </c>
      <c r="E4" s="58" t="n">
        <v>59.75</v>
      </c>
    </row>
    <row r="5" ht="12" customHeight="1">
      <c r="A5" s="34" t="n">
        <v>53</v>
      </c>
      <c r="B5" s="58" t="n">
        <v>68.45999999999999</v>
      </c>
      <c r="C5" s="58" t="n">
        <v>81.69</v>
      </c>
      <c r="D5" s="58" t="n">
        <v>53.34</v>
      </c>
      <c r="E5" s="58" t="n">
        <v>61.43</v>
      </c>
    </row>
    <row r="6" ht="12" customHeight="1">
      <c r="A6" s="34" t="n">
        <v>54</v>
      </c>
      <c r="B6" s="58" t="n">
        <v>69.98</v>
      </c>
      <c r="C6" s="58" t="n">
        <v>83.63</v>
      </c>
      <c r="D6" s="58" t="n">
        <v>54.44</v>
      </c>
      <c r="E6" s="58" t="n">
        <v>63.16</v>
      </c>
    </row>
    <row r="7" ht="12" customHeight="1">
      <c r="A7" s="34" t="n">
        <v>55</v>
      </c>
      <c r="B7" s="58" t="n">
        <v>71.51000000000001</v>
      </c>
      <c r="C7" s="58" t="n">
        <v>85.58</v>
      </c>
      <c r="D7" s="58" t="n">
        <v>55.55</v>
      </c>
      <c r="E7" s="58" t="n">
        <v>64.89</v>
      </c>
    </row>
    <row r="8" ht="12" customHeight="1">
      <c r="A8" s="34" t="n">
        <v>56</v>
      </c>
      <c r="B8" s="58" t="n">
        <v>72.56</v>
      </c>
      <c r="C8" s="58" t="n">
        <v>87.15000000000001</v>
      </c>
      <c r="D8" s="58" t="n">
        <v>55.86</v>
      </c>
      <c r="E8" s="58" t="n">
        <v>65.56999999999999</v>
      </c>
    </row>
    <row r="9" ht="12" customHeight="1">
      <c r="A9" s="34" t="n">
        <v>57</v>
      </c>
      <c r="B9" s="58" t="n">
        <v>73.55</v>
      </c>
      <c r="C9" s="58" t="n">
        <v>88.73</v>
      </c>
      <c r="D9" s="58" t="n">
        <v>56.23</v>
      </c>
      <c r="E9" s="58" t="n">
        <v>66.26000000000001</v>
      </c>
    </row>
    <row r="10" ht="12" customHeight="1">
      <c r="A10" s="34" t="n">
        <v>58</v>
      </c>
      <c r="B10" s="58" t="n">
        <v>74.59999999999999</v>
      </c>
      <c r="C10" s="58" t="n">
        <v>90.3</v>
      </c>
      <c r="D10" s="58" t="n">
        <v>56.54</v>
      </c>
      <c r="E10" s="58" t="n">
        <v>66.89</v>
      </c>
    </row>
    <row r="11" ht="12" customHeight="1">
      <c r="A11" s="34" t="n">
        <v>59</v>
      </c>
      <c r="B11" s="58" t="n">
        <v>75.59999999999999</v>
      </c>
      <c r="C11" s="58" t="n">
        <v>91.88</v>
      </c>
      <c r="D11" s="58" t="n">
        <v>56.91</v>
      </c>
      <c r="E11" s="58" t="n">
        <v>67.56999999999999</v>
      </c>
    </row>
    <row r="12" ht="12" customHeight="1">
      <c r="A12" s="34" t="n">
        <v>60</v>
      </c>
      <c r="B12" s="58" t="n">
        <v>76.65000000000001</v>
      </c>
      <c r="C12" s="58" t="n">
        <v>93.45</v>
      </c>
      <c r="D12" s="58" t="n">
        <v>57.23</v>
      </c>
      <c r="E12" s="58" t="n">
        <v>68.25</v>
      </c>
    </row>
    <row r="13" ht="12" customHeight="1">
      <c r="A13" s="34" t="n">
        <v>61</v>
      </c>
      <c r="B13" s="58" t="n">
        <v>80.43000000000001</v>
      </c>
      <c r="C13" s="58" t="n">
        <v>97.23</v>
      </c>
      <c r="D13" s="58" t="n">
        <v>59.75</v>
      </c>
      <c r="E13" s="58" t="n">
        <v>71.72</v>
      </c>
    </row>
    <row r="14" ht="12" customHeight="1">
      <c r="A14" s="34" t="n">
        <v>62</v>
      </c>
      <c r="B14" s="58" t="n">
        <v>84.20999999999999</v>
      </c>
      <c r="C14" s="58" t="n">
        <v>101.01</v>
      </c>
      <c r="D14" s="58" t="n">
        <v>62.27</v>
      </c>
      <c r="E14" s="58" t="n">
        <v>75.18000000000001</v>
      </c>
    </row>
    <row r="15" ht="12" customHeight="1">
      <c r="A15" s="34" t="n">
        <v>63</v>
      </c>
      <c r="B15" s="58" t="n">
        <v>87.98999999999999</v>
      </c>
      <c r="C15" s="58" t="n">
        <v>104.79</v>
      </c>
      <c r="D15" s="58" t="n">
        <v>64.79000000000001</v>
      </c>
      <c r="E15" s="58" t="n">
        <v>78.65000000000001</v>
      </c>
    </row>
    <row r="16" ht="12" customHeight="1">
      <c r="A16" s="34" t="n">
        <v>64</v>
      </c>
      <c r="B16" s="58" t="n">
        <v>91.77</v>
      </c>
      <c r="C16" s="58" t="n">
        <v>108.57</v>
      </c>
      <c r="D16" s="58" t="n">
        <v>67.31</v>
      </c>
      <c r="E16" s="58" t="n">
        <v>82.11</v>
      </c>
    </row>
    <row r="17" ht="12" customHeight="1">
      <c r="A17" s="34" t="n">
        <v>65</v>
      </c>
      <c r="B17" s="58" t="n">
        <v>95.55</v>
      </c>
      <c r="C17" s="58" t="n">
        <v>112.35</v>
      </c>
      <c r="D17" s="58" t="n">
        <v>69.83</v>
      </c>
      <c r="E17" s="58" t="n">
        <v>85.58</v>
      </c>
    </row>
    <row r="18" ht="12" customHeight="1">
      <c r="A18" s="34" t="n">
        <v>66</v>
      </c>
      <c r="B18" s="58" t="n">
        <v>102.69</v>
      </c>
      <c r="C18" s="58" t="n">
        <v>120.49</v>
      </c>
      <c r="D18" s="58" t="n">
        <v>74.55</v>
      </c>
      <c r="E18" s="58" t="n">
        <v>90.93000000000001</v>
      </c>
    </row>
    <row r="19" ht="12" customHeight="1">
      <c r="A19" s="34" t="n">
        <v>67</v>
      </c>
      <c r="B19" s="58" t="n">
        <v>109.83</v>
      </c>
      <c r="C19" s="58" t="n">
        <v>128.63</v>
      </c>
      <c r="D19" s="58" t="n">
        <v>79.28</v>
      </c>
      <c r="E19" s="58" t="n">
        <v>96.29000000000001</v>
      </c>
    </row>
    <row r="20" ht="12" customHeight="1">
      <c r="A20" s="34" t="n">
        <v>68</v>
      </c>
      <c r="B20" s="58" t="n">
        <v>116.97</v>
      </c>
      <c r="C20" s="58" t="n">
        <v>136.71</v>
      </c>
      <c r="D20" s="58" t="n">
        <v>84</v>
      </c>
      <c r="E20" s="58" t="n">
        <v>101.64</v>
      </c>
    </row>
    <row r="21" ht="12" customHeight="1">
      <c r="A21" s="34" t="n">
        <v>69</v>
      </c>
      <c r="B21" s="58" t="n">
        <v>124.11</v>
      </c>
      <c r="C21" s="58" t="n">
        <v>144.85</v>
      </c>
      <c r="D21" s="58" t="n">
        <v>88.73</v>
      </c>
      <c r="E21" s="58" t="n">
        <v>107</v>
      </c>
    </row>
    <row r="22" ht="12" customHeight="1">
      <c r="A22" s="34" t="n">
        <v>70</v>
      </c>
      <c r="B22" s="58" t="n">
        <v>131.25</v>
      </c>
      <c r="C22" s="58" t="n">
        <v>152.99</v>
      </c>
      <c r="D22" s="58" t="n">
        <v>93.45</v>
      </c>
      <c r="E22" s="58" t="n">
        <v>112.35</v>
      </c>
    </row>
    <row r="23" ht="12" customHeight="1">
      <c r="A23" s="34" t="n">
        <v>71</v>
      </c>
      <c r="B23" s="58" t="n">
        <v>143.22</v>
      </c>
      <c r="C23" s="58" t="n">
        <v>168.05</v>
      </c>
      <c r="D23" s="58" t="n">
        <v>102.48</v>
      </c>
      <c r="E23" s="58" t="n">
        <v>122.43</v>
      </c>
    </row>
    <row r="24" ht="12" customHeight="1">
      <c r="A24" s="34" t="n">
        <v>72</v>
      </c>
      <c r="B24" s="58" t="n">
        <v>155.19</v>
      </c>
      <c r="C24" s="58" t="n">
        <v>183.12</v>
      </c>
      <c r="D24" s="58" t="n">
        <v>111.51</v>
      </c>
      <c r="E24" s="58" t="n">
        <v>132.51</v>
      </c>
    </row>
    <row r="25" ht="12" customHeight="1">
      <c r="A25" s="34" t="n">
        <v>73</v>
      </c>
      <c r="B25" s="58" t="n">
        <v>167.16</v>
      </c>
      <c r="C25" s="58" t="n">
        <v>198.24</v>
      </c>
      <c r="D25" s="58" t="n">
        <v>120.54</v>
      </c>
      <c r="E25" s="58" t="n">
        <v>142.59</v>
      </c>
    </row>
    <row r="26" ht="12" customHeight="1">
      <c r="A26" s="34" t="n">
        <v>74</v>
      </c>
      <c r="B26" s="58" t="n">
        <v>179.13</v>
      </c>
      <c r="C26" s="58" t="n">
        <v>213.31</v>
      </c>
      <c r="D26" s="58" t="n">
        <v>129.57</v>
      </c>
      <c r="E26" s="58" t="n">
        <v>152.67</v>
      </c>
    </row>
    <row r="27" ht="12" customHeight="1">
      <c r="A27" s="34" t="n">
        <v>75</v>
      </c>
      <c r="B27" s="58" t="n">
        <v>191.1</v>
      </c>
      <c r="C27" s="58" t="n">
        <v>228.38</v>
      </c>
      <c r="D27" s="58" t="n">
        <v>138.6</v>
      </c>
      <c r="E27" s="58" t="n">
        <v>162.75</v>
      </c>
    </row>
    <row r="28" ht="12" customHeight="1">
      <c r="A28" s="34" t="n">
        <v>76</v>
      </c>
      <c r="B28" s="58" t="n">
        <v>205.8</v>
      </c>
      <c r="C28" s="58" t="n">
        <v>242.34</v>
      </c>
      <c r="D28" s="58" t="n">
        <v>150.15</v>
      </c>
      <c r="E28" s="58" t="n">
        <v>174.3</v>
      </c>
    </row>
    <row r="29" ht="12" customHeight="1">
      <c r="A29" s="34" t="n">
        <v>77</v>
      </c>
      <c r="B29" s="58" t="n">
        <v>220.5</v>
      </c>
      <c r="C29" s="58" t="n">
        <v>256.31</v>
      </c>
      <c r="D29" s="58" t="n">
        <v>161.7</v>
      </c>
      <c r="E29" s="58" t="n">
        <v>185.85</v>
      </c>
    </row>
    <row r="30" ht="12" customHeight="1">
      <c r="A30" s="34" t="n">
        <v>78</v>
      </c>
      <c r="B30" s="58" t="n">
        <v>235.2</v>
      </c>
      <c r="C30" s="58" t="n">
        <v>270.27</v>
      </c>
      <c r="D30" s="58" t="n">
        <v>173.25</v>
      </c>
      <c r="E30" s="58" t="n">
        <v>197.4</v>
      </c>
    </row>
    <row r="31" ht="12" customHeight="1">
      <c r="A31" s="34" t="n">
        <v>79</v>
      </c>
      <c r="B31" s="58" t="n">
        <v>249.9</v>
      </c>
      <c r="C31" s="58" t="n">
        <v>284.24</v>
      </c>
      <c r="D31" s="58" t="n">
        <v>184.8</v>
      </c>
      <c r="E31" s="58" t="n">
        <v>208.95</v>
      </c>
    </row>
    <row r="32" ht="12" customHeight="1">
      <c r="A32" s="34" t="n">
        <v>80</v>
      </c>
      <c r="B32" s="58" t="n">
        <v>264.6</v>
      </c>
      <c r="C32" s="58" t="n">
        <v>298.2</v>
      </c>
      <c r="D32" s="58" t="n">
        <v>196.35</v>
      </c>
      <c r="E32" s="58" t="n">
        <v>220.5</v>
      </c>
    </row>
    <row r="33" ht="12" customHeight="1">
      <c r="A33" s="34" t="n">
        <v>81</v>
      </c>
      <c r="B33" s="58" t="n">
        <v>285.18</v>
      </c>
      <c r="C33" s="58" t="n">
        <v>319.83</v>
      </c>
      <c r="D33" s="58" t="n">
        <v>210</v>
      </c>
      <c r="E33" s="58" t="n">
        <v>236.25</v>
      </c>
    </row>
    <row r="34" ht="12" customHeight="1">
      <c r="A34" s="34" t="n">
        <v>82</v>
      </c>
      <c r="B34" s="58" t="n">
        <v>305.76</v>
      </c>
      <c r="C34" s="58" t="n">
        <v>341.46</v>
      </c>
      <c r="D34" s="58" t="n">
        <v>223.65</v>
      </c>
      <c r="E34" s="58" t="n">
        <v>252</v>
      </c>
    </row>
    <row r="35" ht="12" customHeight="1">
      <c r="A35" s="34" t="n">
        <v>83</v>
      </c>
      <c r="B35" s="58" t="n">
        <v>326.34</v>
      </c>
      <c r="C35" s="58" t="n">
        <v>363.09</v>
      </c>
      <c r="D35" s="58" t="n">
        <v>237.3</v>
      </c>
      <c r="E35" s="58" t="n">
        <v>267.75</v>
      </c>
    </row>
    <row r="36" ht="12" customHeight="1">
      <c r="A36" s="34" t="n">
        <v>84</v>
      </c>
      <c r="B36" s="58" t="n">
        <v>346.92</v>
      </c>
      <c r="C36" s="58" t="n">
        <v>384.72</v>
      </c>
      <c r="D36" s="58" t="n">
        <v>250.95</v>
      </c>
      <c r="E36" s="58" t="n">
        <v>283.5</v>
      </c>
    </row>
    <row r="37" ht="12" customHeight="1">
      <c r="A37" s="34" t="n">
        <v>85</v>
      </c>
      <c r="B37" s="58" t="n">
        <v>367.5</v>
      </c>
      <c r="C37" s="58" t="n">
        <v>406.35</v>
      </c>
      <c r="D37" s="58" t="n">
        <v>264.6</v>
      </c>
      <c r="E37" s="58" t="n">
        <v>299.25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ColWidth="12.5703125" defaultRowHeight="15" customHeight="1"/>
  <cols>
    <col width="6.42578125" customWidth="1" style="32" min="1" max="1"/>
    <col width="12.7109375" customWidth="1" style="32" min="2" max="2"/>
    <col width="12.42578125" customWidth="1" style="32" min="3" max="3"/>
    <col width="9.140625" customWidth="1" min="4" max="6"/>
    <col width="8.5703125" customWidth="1" min="7" max="26"/>
  </cols>
  <sheetData>
    <row r="1" ht="12" customHeight="1">
      <c r="A1" s="59" t="inlineStr">
        <is>
          <t>Age</t>
        </is>
      </c>
      <c r="B1" s="37" t="inlineStr">
        <is>
          <t>Male</t>
        </is>
      </c>
      <c r="C1" s="37" t="inlineStr">
        <is>
          <t>Female</t>
        </is>
      </c>
    </row>
    <row r="2" ht="12" customHeight="1">
      <c r="A2" s="34" t="n">
        <v>50</v>
      </c>
      <c r="B2" s="58" t="n">
        <v>41.47</v>
      </c>
      <c r="C2" s="58" t="n">
        <v>30.64</v>
      </c>
    </row>
    <row r="3" ht="12" customHeight="1">
      <c r="A3" s="34" t="n">
        <v>51</v>
      </c>
      <c r="B3" s="58" t="n">
        <v>42.89</v>
      </c>
      <c r="C3" s="58" t="n">
        <v>31.72</v>
      </c>
    </row>
    <row r="4" ht="12" customHeight="1">
      <c r="A4" s="34" t="n">
        <v>52</v>
      </c>
      <c r="B4" s="58" t="n">
        <v>44.33</v>
      </c>
      <c r="C4" s="58" t="n">
        <v>32.82</v>
      </c>
    </row>
    <row r="5" ht="12" customHeight="1">
      <c r="A5" s="34" t="n">
        <v>53</v>
      </c>
      <c r="B5" s="58" t="n">
        <v>45.78</v>
      </c>
      <c r="C5" s="58" t="n">
        <v>33.94</v>
      </c>
    </row>
    <row r="6" ht="12" customHeight="1">
      <c r="A6" s="34" t="n">
        <v>54</v>
      </c>
      <c r="B6" s="58" t="n">
        <v>47.25</v>
      </c>
      <c r="C6" s="58" t="n">
        <v>35.08</v>
      </c>
    </row>
    <row r="7" ht="12" customHeight="1">
      <c r="A7" s="34" t="n">
        <v>55</v>
      </c>
      <c r="B7" s="58" t="n">
        <v>48.74</v>
      </c>
      <c r="C7" s="58" t="n">
        <v>36.24</v>
      </c>
    </row>
    <row r="8" ht="12" customHeight="1">
      <c r="A8" s="34" t="n">
        <v>56</v>
      </c>
      <c r="B8" s="58" t="n">
        <v>50.25</v>
      </c>
      <c r="C8" s="58" t="n">
        <v>37.42</v>
      </c>
    </row>
    <row r="9" ht="12" customHeight="1">
      <c r="A9" s="34" t="n">
        <v>57</v>
      </c>
      <c r="B9" s="58" t="n">
        <v>51.78</v>
      </c>
      <c r="C9" s="58" t="n">
        <v>38.62</v>
      </c>
    </row>
    <row r="10" ht="12" customHeight="1">
      <c r="A10" s="34" t="n">
        <v>58</v>
      </c>
      <c r="B10" s="58" t="n">
        <v>53.33</v>
      </c>
      <c r="C10" s="58" t="n">
        <v>39.84</v>
      </c>
    </row>
    <row r="11" ht="12" customHeight="1">
      <c r="A11" s="34" t="n">
        <v>59</v>
      </c>
      <c r="B11" s="58" t="n">
        <v>54.9</v>
      </c>
      <c r="C11" s="58" t="n">
        <v>41.08</v>
      </c>
    </row>
    <row r="12" ht="12" customHeight="1">
      <c r="A12" s="34" t="n">
        <v>60</v>
      </c>
      <c r="B12" s="58" t="n">
        <v>56.49</v>
      </c>
      <c r="C12" s="58" t="n">
        <v>42.34</v>
      </c>
    </row>
    <row r="13" ht="12" customHeight="1">
      <c r="A13" s="34" t="n">
        <v>61</v>
      </c>
      <c r="B13" s="58" t="n">
        <v>61.38</v>
      </c>
      <c r="C13" s="58" t="n">
        <v>45.3</v>
      </c>
    </row>
    <row r="14" ht="12" customHeight="1">
      <c r="A14" s="34" t="n">
        <v>62</v>
      </c>
      <c r="B14" s="58" t="n">
        <v>66.31</v>
      </c>
      <c r="C14" s="58" t="n">
        <v>48.3</v>
      </c>
    </row>
    <row r="15" ht="12" customHeight="1">
      <c r="A15" s="34" t="n">
        <v>63</v>
      </c>
      <c r="B15" s="58" t="n">
        <v>71.27</v>
      </c>
      <c r="C15" s="58" t="n">
        <v>51.33</v>
      </c>
    </row>
    <row r="16" ht="12" customHeight="1">
      <c r="A16" s="34" t="n">
        <v>64</v>
      </c>
      <c r="B16" s="58" t="n">
        <v>76.27</v>
      </c>
      <c r="C16" s="58" t="n">
        <v>54.4</v>
      </c>
    </row>
    <row r="17" ht="12" customHeight="1">
      <c r="A17" s="34" t="n">
        <v>65</v>
      </c>
      <c r="B17" s="58" t="n">
        <v>81.31</v>
      </c>
      <c r="C17" s="58" t="n">
        <v>57.5</v>
      </c>
    </row>
    <row r="18" ht="12" customHeight="1">
      <c r="A18" s="34" t="n">
        <v>66</v>
      </c>
      <c r="B18" s="58" t="n">
        <v>88.2</v>
      </c>
      <c r="C18" s="58" t="n">
        <v>61.62</v>
      </c>
    </row>
    <row r="19" ht="12" customHeight="1">
      <c r="A19" s="34" t="n">
        <v>67</v>
      </c>
      <c r="B19" s="58" t="n">
        <v>95.15000000000001</v>
      </c>
      <c r="C19" s="58" t="n">
        <v>65.78</v>
      </c>
    </row>
    <row r="20" ht="12" customHeight="1">
      <c r="A20" s="34" t="n">
        <v>68</v>
      </c>
      <c r="B20" s="58" t="n">
        <v>102.15</v>
      </c>
      <c r="C20" s="58" t="n">
        <v>69.98</v>
      </c>
    </row>
    <row r="21" ht="12" customHeight="1">
      <c r="A21" s="34" t="n">
        <v>69</v>
      </c>
      <c r="B21" s="58" t="n">
        <v>109.2</v>
      </c>
      <c r="C21" s="58" t="n">
        <v>74.22</v>
      </c>
    </row>
    <row r="22" ht="12" customHeight="1">
      <c r="A22" s="34" t="n">
        <v>70</v>
      </c>
      <c r="B22" s="58" t="n">
        <v>116.3</v>
      </c>
      <c r="C22" s="58" t="n">
        <v>78.5</v>
      </c>
    </row>
    <row r="23" ht="12" customHeight="1">
      <c r="A23" s="34" t="n">
        <v>71</v>
      </c>
      <c r="B23" s="58" t="n">
        <v>127.8</v>
      </c>
      <c r="C23" s="58" t="n">
        <v>84.7</v>
      </c>
    </row>
    <row r="24" ht="12" customHeight="1">
      <c r="A24" s="34" t="n">
        <v>72</v>
      </c>
      <c r="B24" s="58" t="n">
        <v>139.4</v>
      </c>
      <c r="C24" s="58" t="n">
        <v>90.98</v>
      </c>
    </row>
    <row r="25" ht="12" customHeight="1">
      <c r="A25" s="34" t="n">
        <v>73</v>
      </c>
      <c r="B25" s="58" t="n">
        <v>151.1</v>
      </c>
      <c r="C25" s="58" t="n">
        <v>97.34</v>
      </c>
    </row>
    <row r="26" ht="12" customHeight="1">
      <c r="A26" s="34" t="n">
        <v>74</v>
      </c>
      <c r="B26" s="58" t="n">
        <v>162.9</v>
      </c>
      <c r="C26" s="58" t="n">
        <v>103.78</v>
      </c>
    </row>
    <row r="27" ht="12" customHeight="1">
      <c r="A27" s="34" t="n">
        <v>75</v>
      </c>
      <c r="B27" s="58" t="n">
        <v>174.8</v>
      </c>
      <c r="C27" s="58" t="n">
        <v>110.3</v>
      </c>
    </row>
    <row r="28" ht="12" customHeight="1">
      <c r="A28" s="34" t="n">
        <v>76</v>
      </c>
      <c r="B28" s="58" t="n">
        <v>188.9</v>
      </c>
      <c r="C28" s="58" t="n">
        <v>118.3</v>
      </c>
    </row>
    <row r="29" ht="12" customHeight="1">
      <c r="A29" s="34" t="n">
        <v>77</v>
      </c>
      <c r="B29" s="58" t="n">
        <v>203.2</v>
      </c>
      <c r="C29" s="58" t="n">
        <v>126.42</v>
      </c>
    </row>
    <row r="30" ht="12" customHeight="1">
      <c r="A30" s="34" t="n">
        <v>78</v>
      </c>
      <c r="B30" s="58" t="n">
        <v>217.7</v>
      </c>
      <c r="C30" s="58" t="n">
        <v>134.66</v>
      </c>
    </row>
    <row r="31" ht="12" customHeight="1">
      <c r="A31" s="34" t="n">
        <v>79</v>
      </c>
      <c r="B31" s="58" t="n">
        <v>232.4</v>
      </c>
      <c r="C31" s="58" t="n">
        <v>143.02</v>
      </c>
    </row>
    <row r="32" ht="12" customHeight="1">
      <c r="A32" s="34" t="n">
        <v>80</v>
      </c>
      <c r="B32" s="58" t="n">
        <v>271.7</v>
      </c>
      <c r="C32" s="58" t="n">
        <v>176.7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12.5703125" defaultRowHeight="15" customHeight="1"/>
  <cols>
    <col width="8.5703125" customWidth="1" min="1" max="1"/>
    <col width="15.7109375" customWidth="1" min="2" max="3"/>
    <col width="16.7109375" customWidth="1" min="4" max="4"/>
    <col width="16.5703125" customWidth="1" min="5" max="5"/>
    <col width="8.5703125" customWidth="1" min="6" max="26"/>
  </cols>
  <sheetData>
    <row r="1">
      <c r="A1" s="27" t="inlineStr">
        <is>
          <t>Age</t>
        </is>
      </c>
      <c r="B1" s="27" t="inlineStr">
        <is>
          <t>Male Non-Smoker</t>
        </is>
      </c>
      <c r="C1" s="27" t="inlineStr">
        <is>
          <t>Male Smoker</t>
        </is>
      </c>
      <c r="D1" s="27" t="inlineStr">
        <is>
          <t>Female Non-Smoker</t>
        </is>
      </c>
      <c r="E1" s="27" t="inlineStr">
        <is>
          <t>Female Smoker</t>
        </is>
      </c>
    </row>
    <row r="2">
      <c r="A2" s="34" t="n">
        <v>45</v>
      </c>
      <c r="B2" s="58" t="n">
        <v>26.86</v>
      </c>
      <c r="C2" s="58" t="n">
        <v>37.1</v>
      </c>
      <c r="D2" s="58" t="n">
        <v>21.8</v>
      </c>
      <c r="E2" s="58" t="n">
        <v>29.28</v>
      </c>
    </row>
    <row r="3">
      <c r="A3" s="34" t="n">
        <v>46</v>
      </c>
      <c r="B3" s="58" t="n">
        <v>27.5</v>
      </c>
      <c r="C3" s="58" t="n">
        <v>37.62</v>
      </c>
      <c r="D3" s="58" t="n">
        <v>22.27</v>
      </c>
      <c r="E3" s="58" t="n">
        <v>29.66</v>
      </c>
    </row>
    <row r="4">
      <c r="A4" s="34" t="n">
        <v>47</v>
      </c>
      <c r="B4" s="58" t="n">
        <v>28.24</v>
      </c>
      <c r="C4" s="58" t="n">
        <v>38.29</v>
      </c>
      <c r="D4" s="58" t="n">
        <v>22.69</v>
      </c>
      <c r="E4" s="58" t="n">
        <v>29.91</v>
      </c>
    </row>
    <row r="5">
      <c r="A5" s="34" t="n">
        <v>48</v>
      </c>
      <c r="B5" s="58" t="n">
        <v>29.06</v>
      </c>
      <c r="C5" s="58" t="n">
        <v>39.03</v>
      </c>
      <c r="D5" s="58" t="n">
        <v>23.2</v>
      </c>
      <c r="E5" s="58" t="n">
        <v>30.71</v>
      </c>
    </row>
    <row r="6">
      <c r="A6" s="34" t="n">
        <v>49</v>
      </c>
      <c r="B6" s="58" t="n">
        <v>29.99</v>
      </c>
      <c r="C6" s="58" t="n">
        <v>39.88</v>
      </c>
      <c r="D6" s="58" t="n">
        <v>23.91</v>
      </c>
      <c r="E6" s="58" t="n">
        <v>31.14</v>
      </c>
    </row>
    <row r="7">
      <c r="A7" s="34" t="n">
        <v>50</v>
      </c>
      <c r="B7" s="58" t="n">
        <v>30.87</v>
      </c>
      <c r="C7" s="58" t="n">
        <v>39.4</v>
      </c>
      <c r="D7" s="58" t="n">
        <v>23.71</v>
      </c>
      <c r="E7" s="58" t="n">
        <v>31.84</v>
      </c>
    </row>
    <row r="8">
      <c r="A8" s="34" t="n">
        <v>51</v>
      </c>
      <c r="B8" s="58" t="n">
        <v>31.73</v>
      </c>
      <c r="C8" s="58" t="n">
        <v>40.75</v>
      </c>
      <c r="D8" s="58" t="n">
        <v>24.57</v>
      </c>
      <c r="E8" s="58" t="n">
        <v>33.45</v>
      </c>
    </row>
    <row r="9">
      <c r="A9" s="34" t="n">
        <v>52</v>
      </c>
      <c r="B9" s="58" t="n">
        <v>32.44</v>
      </c>
      <c r="C9" s="58" t="n">
        <v>42.21</v>
      </c>
      <c r="D9" s="58" t="n">
        <v>25.41</v>
      </c>
      <c r="E9" s="58" t="n">
        <v>34.69</v>
      </c>
    </row>
    <row r="10">
      <c r="A10" s="34" t="n">
        <v>53</v>
      </c>
      <c r="B10" s="58" t="n">
        <v>33.18</v>
      </c>
      <c r="C10" s="58" t="n">
        <v>46.07</v>
      </c>
      <c r="D10" s="58" t="n">
        <v>26.11</v>
      </c>
      <c r="E10" s="58" t="n">
        <v>36.18</v>
      </c>
    </row>
    <row r="11">
      <c r="A11" s="34" t="n">
        <v>54</v>
      </c>
      <c r="B11" s="58" t="n">
        <v>34.87</v>
      </c>
      <c r="C11" s="58" t="n">
        <v>47.94</v>
      </c>
      <c r="D11" s="58" t="n">
        <v>26.83</v>
      </c>
      <c r="E11" s="58" t="n">
        <v>37.6</v>
      </c>
    </row>
    <row r="12">
      <c r="A12" s="34" t="n">
        <v>55</v>
      </c>
      <c r="B12" s="58" t="n">
        <v>36.79</v>
      </c>
      <c r="C12" s="58" t="n">
        <v>50.08</v>
      </c>
      <c r="D12" s="58" t="n">
        <v>27.53</v>
      </c>
      <c r="E12" s="58" t="n">
        <v>39.79</v>
      </c>
    </row>
    <row r="13">
      <c r="A13" s="34" t="n">
        <v>56</v>
      </c>
      <c r="B13" s="58" t="n">
        <v>38.42</v>
      </c>
      <c r="C13" s="58" t="n">
        <v>52.53</v>
      </c>
      <c r="D13" s="58" t="n">
        <v>28.52</v>
      </c>
      <c r="E13" s="58" t="n">
        <v>41.07</v>
      </c>
    </row>
    <row r="14">
      <c r="A14" s="34" t="n">
        <v>57</v>
      </c>
      <c r="B14" s="58" t="n">
        <v>39.98</v>
      </c>
      <c r="C14" s="58" t="n">
        <v>54.89</v>
      </c>
      <c r="D14" s="58" t="n">
        <v>30.09</v>
      </c>
      <c r="E14" s="58" t="n">
        <v>42.65</v>
      </c>
    </row>
    <row r="15">
      <c r="A15" s="34" t="n">
        <v>58</v>
      </c>
      <c r="B15" s="58" t="n">
        <v>41.59</v>
      </c>
      <c r="C15" s="58" t="n">
        <v>57.35</v>
      </c>
      <c r="D15" s="58" t="n">
        <v>31.04</v>
      </c>
      <c r="E15" s="58" t="n">
        <v>43.93</v>
      </c>
    </row>
    <row r="16">
      <c r="A16" s="34" t="n">
        <v>59</v>
      </c>
      <c r="B16" s="58" t="n">
        <v>43.41</v>
      </c>
      <c r="C16" s="58" t="n">
        <v>60.13</v>
      </c>
      <c r="D16" s="58" t="n">
        <v>32.02</v>
      </c>
      <c r="E16" s="58" t="n">
        <v>45.4</v>
      </c>
    </row>
    <row r="17">
      <c r="A17" s="34" t="n">
        <v>60</v>
      </c>
      <c r="B17" s="58" t="n">
        <v>45.57</v>
      </c>
      <c r="C17" s="58" t="n">
        <v>63.41</v>
      </c>
      <c r="D17" s="58" t="n">
        <v>33.33</v>
      </c>
      <c r="E17" s="58" t="n">
        <v>47.17</v>
      </c>
    </row>
    <row r="18">
      <c r="A18" s="34" t="n">
        <v>61</v>
      </c>
      <c r="B18" s="58" t="n">
        <v>48.55</v>
      </c>
      <c r="C18" s="58" t="n">
        <v>67.5</v>
      </c>
      <c r="D18" s="58" t="n">
        <v>35.18</v>
      </c>
      <c r="E18" s="58" t="n">
        <v>49.75</v>
      </c>
    </row>
    <row r="19">
      <c r="A19" s="34" t="n">
        <v>62</v>
      </c>
      <c r="B19" s="58" t="n">
        <v>51.53</v>
      </c>
      <c r="C19" s="58" t="n">
        <v>72.48999999999999</v>
      </c>
      <c r="D19" s="58" t="n">
        <v>36.92</v>
      </c>
      <c r="E19" s="58" t="n">
        <v>52.33</v>
      </c>
    </row>
    <row r="20">
      <c r="A20" s="34" t="n">
        <v>63</v>
      </c>
      <c r="B20" s="58" t="n">
        <v>53.95</v>
      </c>
      <c r="C20" s="58" t="n">
        <v>76.13</v>
      </c>
      <c r="D20" s="58" t="n">
        <v>38.78</v>
      </c>
      <c r="E20" s="58" t="n">
        <v>54.9</v>
      </c>
    </row>
    <row r="21" ht="15.75" customHeight="1">
      <c r="A21" s="34" t="n">
        <v>64</v>
      </c>
      <c r="B21" s="58" t="n">
        <v>56.6</v>
      </c>
      <c r="C21" s="58" t="n">
        <v>81.34</v>
      </c>
      <c r="D21" s="58" t="n">
        <v>40.63</v>
      </c>
      <c r="E21" s="58" t="n">
        <v>57.48</v>
      </c>
    </row>
    <row r="22" ht="15.75" customHeight="1">
      <c r="A22" s="34" t="n">
        <v>65</v>
      </c>
      <c r="B22" s="58" t="n">
        <v>59.86</v>
      </c>
      <c r="C22" s="58" t="n">
        <v>86.09999999999999</v>
      </c>
      <c r="D22" s="58" t="n">
        <v>42.48</v>
      </c>
      <c r="E22" s="58" t="n">
        <v>60.06</v>
      </c>
    </row>
    <row r="23" ht="15.75" customHeight="1">
      <c r="A23" s="34" t="n">
        <v>66</v>
      </c>
      <c r="B23" s="58" t="n">
        <v>63.65</v>
      </c>
      <c r="C23" s="58" t="n">
        <v>92.38</v>
      </c>
      <c r="D23" s="58" t="n">
        <v>45.21</v>
      </c>
      <c r="E23" s="58" t="n">
        <v>64.06</v>
      </c>
    </row>
    <row r="24" ht="15.75" customHeight="1">
      <c r="A24" s="34" t="n">
        <v>67</v>
      </c>
      <c r="B24" s="58" t="n">
        <v>67.39</v>
      </c>
      <c r="C24" s="58" t="n">
        <v>98.68000000000001</v>
      </c>
      <c r="D24" s="58" t="n">
        <v>47.93</v>
      </c>
      <c r="E24" s="58" t="n">
        <v>67.86</v>
      </c>
    </row>
    <row r="25" ht="15.75" customHeight="1">
      <c r="A25" s="34" t="n">
        <v>68</v>
      </c>
      <c r="B25" s="58" t="n">
        <v>71.5</v>
      </c>
      <c r="C25" s="58" t="n">
        <v>104.97</v>
      </c>
      <c r="D25" s="58" t="n">
        <v>50.66</v>
      </c>
      <c r="E25" s="58" t="n">
        <v>71.90000000000001</v>
      </c>
    </row>
    <row r="26" ht="15.75" customHeight="1">
      <c r="A26" s="34" t="n">
        <v>69</v>
      </c>
      <c r="B26" s="58" t="n">
        <v>75.94</v>
      </c>
      <c r="C26" s="58" t="n">
        <v>110.4</v>
      </c>
      <c r="D26" s="58" t="n">
        <v>53.49</v>
      </c>
      <c r="E26" s="58" t="n">
        <v>75.56</v>
      </c>
    </row>
    <row r="27" ht="15.75" customHeight="1">
      <c r="A27" s="34" t="n">
        <v>70</v>
      </c>
      <c r="B27" s="58" t="n">
        <v>80.23</v>
      </c>
      <c r="C27" s="58" t="n">
        <v>117.03</v>
      </c>
      <c r="D27" s="58" t="n">
        <v>56.22</v>
      </c>
      <c r="E27" s="58" t="n">
        <v>80.08</v>
      </c>
    </row>
    <row r="28" ht="15.75" customHeight="1">
      <c r="A28" s="34" t="n">
        <v>71</v>
      </c>
      <c r="B28" s="58" t="n">
        <v>84.95</v>
      </c>
      <c r="C28" s="58" t="n">
        <v>125.62</v>
      </c>
      <c r="D28" s="58" t="n">
        <v>59.55</v>
      </c>
      <c r="E28" s="58" t="n">
        <v>85.19</v>
      </c>
    </row>
    <row r="29" ht="15.75" customHeight="1">
      <c r="A29" s="34" t="n">
        <v>72</v>
      </c>
      <c r="B29" s="58" t="n">
        <v>90.77</v>
      </c>
      <c r="C29" s="58" t="n">
        <v>132.83</v>
      </c>
      <c r="D29" s="58" t="n">
        <v>62.08</v>
      </c>
      <c r="E29" s="58" t="n">
        <v>91.53</v>
      </c>
    </row>
    <row r="30" ht="15.75" customHeight="1">
      <c r="A30" s="34" t="n">
        <v>73</v>
      </c>
      <c r="B30" s="58" t="n">
        <v>96.92</v>
      </c>
      <c r="C30" s="58" t="n">
        <v>142.57</v>
      </c>
      <c r="D30" s="58" t="n">
        <v>67.8</v>
      </c>
      <c r="E30" s="58" t="n">
        <v>96.98999999999999</v>
      </c>
    </row>
    <row r="31" ht="15.75" customHeight="1">
      <c r="A31" s="34" t="n">
        <v>74</v>
      </c>
      <c r="B31" s="58" t="n">
        <v>102.99</v>
      </c>
      <c r="C31" s="58" t="n">
        <v>150.16</v>
      </c>
      <c r="D31" s="58" t="n">
        <v>72.56</v>
      </c>
      <c r="E31" s="58" t="n">
        <v>102.99</v>
      </c>
    </row>
    <row r="32" ht="15.75" customHeight="1">
      <c r="A32" s="34" t="n">
        <v>75</v>
      </c>
      <c r="B32" s="58" t="n">
        <v>108.73</v>
      </c>
      <c r="C32" s="58" t="n">
        <v>159.26</v>
      </c>
      <c r="D32" s="58" t="n">
        <v>77.76000000000001</v>
      </c>
      <c r="E32" s="58" t="n">
        <v>108.71</v>
      </c>
    </row>
    <row r="33" ht="15.75" customHeight="1">
      <c r="A33" s="34" t="n">
        <v>76</v>
      </c>
      <c r="B33" s="58" t="n">
        <v>116.67</v>
      </c>
      <c r="C33" s="58" t="n">
        <v>176.22</v>
      </c>
      <c r="D33" s="58" t="n">
        <v>84.31999999999999</v>
      </c>
      <c r="E33" s="58" t="n">
        <v>119.01</v>
      </c>
    </row>
    <row r="34" ht="15.75" customHeight="1">
      <c r="A34" s="34" t="n">
        <v>77</v>
      </c>
      <c r="B34" s="58" t="n">
        <v>124.64</v>
      </c>
      <c r="C34" s="58" t="n">
        <v>191.87</v>
      </c>
      <c r="D34" s="58" t="n">
        <v>90.23</v>
      </c>
      <c r="E34" s="58" t="n">
        <v>128.46</v>
      </c>
    </row>
    <row r="35" ht="15.75" customHeight="1">
      <c r="A35" s="34" t="n">
        <v>78</v>
      </c>
      <c r="B35" s="58" t="n">
        <v>133.63</v>
      </c>
      <c r="C35" s="58" t="n">
        <v>205.46</v>
      </c>
      <c r="D35" s="58" t="n">
        <v>95.77</v>
      </c>
      <c r="E35" s="58" t="n">
        <v>138.54</v>
      </c>
    </row>
    <row r="36" ht="15.75" customHeight="1">
      <c r="A36" s="34" t="n">
        <v>79</v>
      </c>
      <c r="B36" s="58" t="n">
        <v>141.93</v>
      </c>
      <c r="C36" s="58" t="n">
        <v>217.08</v>
      </c>
      <c r="D36" s="58" t="n">
        <v>101.36</v>
      </c>
      <c r="E36" s="58" t="n">
        <v>147.19</v>
      </c>
    </row>
    <row r="37" ht="15.75" customHeight="1">
      <c r="A37" s="34" t="n">
        <v>80</v>
      </c>
      <c r="B37" s="58" t="n">
        <v>153.4</v>
      </c>
      <c r="C37" s="58" t="n">
        <v>228.16</v>
      </c>
      <c r="D37" s="58" t="n">
        <v>107</v>
      </c>
      <c r="E37" s="58" t="n">
        <v>148.24</v>
      </c>
    </row>
    <row r="38" ht="15.75" customHeight="1">
      <c r="A38" s="34" t="n">
        <v>81</v>
      </c>
      <c r="B38" s="58" t="n">
        <v>164.88</v>
      </c>
      <c r="C38" s="58" t="n">
        <v>242.26</v>
      </c>
      <c r="D38" s="58" t="n">
        <v>115.74</v>
      </c>
      <c r="E38" s="58" t="n">
        <v>161.61</v>
      </c>
    </row>
    <row r="39" ht="15.75" customHeight="1">
      <c r="A39" s="34" t="n">
        <v>82</v>
      </c>
      <c r="B39" s="58" t="n">
        <v>176.36</v>
      </c>
      <c r="C39" s="58" t="n">
        <v>264.29</v>
      </c>
      <c r="D39" s="58" t="n">
        <v>124.44</v>
      </c>
      <c r="E39" s="58" t="n">
        <v>176.8</v>
      </c>
    </row>
    <row r="40" ht="15.75" customHeight="1">
      <c r="A40" s="34" t="n">
        <v>83</v>
      </c>
      <c r="B40" s="58" t="n">
        <v>188.56</v>
      </c>
      <c r="C40" s="58" t="n">
        <v>282.36</v>
      </c>
      <c r="D40" s="58" t="n">
        <v>132.7</v>
      </c>
      <c r="E40" s="58" t="n">
        <v>188.27</v>
      </c>
    </row>
    <row r="41" ht="15.75" customHeight="1">
      <c r="A41" s="34" t="n">
        <v>84</v>
      </c>
      <c r="B41" s="58" t="n">
        <v>200.76</v>
      </c>
      <c r="C41" s="58" t="n">
        <v>298.41</v>
      </c>
      <c r="D41" s="58" t="n">
        <v>140.84</v>
      </c>
      <c r="E41" s="58" t="n">
        <v>198.17</v>
      </c>
    </row>
    <row r="42" ht="15.75" customHeight="1">
      <c r="A42" s="34" t="n">
        <v>85</v>
      </c>
      <c r="B42" s="58" t="n">
        <v>212.96</v>
      </c>
      <c r="C42" s="58" t="n">
        <v>314.31</v>
      </c>
      <c r="D42" s="58" t="n">
        <v>149.1</v>
      </c>
      <c r="E42" s="58" t="n">
        <v>212.52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ColWidth="12.5703125" defaultRowHeight="15" customHeight="1"/>
  <cols>
    <col width="6.5703125" customWidth="1" min="1" max="1"/>
    <col width="14.85546875" customWidth="1" min="2" max="2"/>
    <col width="14.42578125" customWidth="1" min="3" max="3"/>
    <col width="15" customWidth="1" min="4" max="4"/>
    <col width="14.85546875" customWidth="1" min="5" max="5"/>
    <col width="8.5703125" customWidth="1" min="6" max="26"/>
  </cols>
  <sheetData>
    <row r="1">
      <c r="A1" s="27" t="inlineStr">
        <is>
          <t>Age</t>
        </is>
      </c>
      <c r="B1" s="27" t="inlineStr">
        <is>
          <t>Male Non-Smoker</t>
        </is>
      </c>
      <c r="C1" s="27" t="inlineStr">
        <is>
          <t>Male Smoker</t>
        </is>
      </c>
      <c r="D1" s="27" t="inlineStr">
        <is>
          <t>Female Non-Smoker</t>
        </is>
      </c>
      <c r="E1" s="27" t="inlineStr">
        <is>
          <t>Female Smoker</t>
        </is>
      </c>
    </row>
    <row r="2">
      <c r="A2" s="12" t="n">
        <v>45</v>
      </c>
      <c r="B2" s="57" t="n">
        <v>37.89</v>
      </c>
      <c r="C2" s="57" t="n">
        <v>37.89</v>
      </c>
      <c r="D2" s="57" t="n">
        <v>28.56</v>
      </c>
      <c r="E2" s="57" t="n">
        <v>28.56</v>
      </c>
    </row>
    <row r="3">
      <c r="A3" s="34" t="n">
        <v>46</v>
      </c>
      <c r="B3" s="58" t="n">
        <v>38.9</v>
      </c>
      <c r="C3" s="58" t="n">
        <v>38.9</v>
      </c>
      <c r="D3" s="58" t="n">
        <v>28.9</v>
      </c>
      <c r="E3" s="58" t="n">
        <v>28.9</v>
      </c>
    </row>
    <row r="4">
      <c r="A4" s="34" t="n">
        <v>47</v>
      </c>
      <c r="B4" s="58" t="n">
        <v>39.8</v>
      </c>
      <c r="C4" s="58" t="n">
        <v>39.8</v>
      </c>
      <c r="D4" s="58" t="n">
        <v>29.13</v>
      </c>
      <c r="E4" s="58" t="n">
        <v>29.13</v>
      </c>
    </row>
    <row r="5">
      <c r="A5" s="34" t="n">
        <v>48</v>
      </c>
      <c r="B5" s="58" t="n">
        <v>41.37</v>
      </c>
      <c r="C5" s="58" t="n">
        <v>41.37</v>
      </c>
      <c r="D5" s="58" t="n">
        <v>30.25</v>
      </c>
      <c r="E5" s="58" t="n">
        <v>30.25</v>
      </c>
    </row>
    <row r="6">
      <c r="A6" s="34" t="n">
        <v>49</v>
      </c>
      <c r="B6" s="58" t="n">
        <v>42.38</v>
      </c>
      <c r="C6" s="58" t="n">
        <v>42.38</v>
      </c>
      <c r="D6" s="58" t="n">
        <v>30.7</v>
      </c>
      <c r="E6" s="58" t="n">
        <v>30.7</v>
      </c>
    </row>
    <row r="7">
      <c r="A7" s="34" t="n">
        <v>50</v>
      </c>
      <c r="B7" s="58" t="n">
        <v>43.5</v>
      </c>
      <c r="C7" s="58" t="n">
        <v>43.5</v>
      </c>
      <c r="D7" s="58" t="n">
        <v>31.26</v>
      </c>
      <c r="E7" s="58" t="n">
        <v>31.26</v>
      </c>
    </row>
    <row r="8">
      <c r="A8" s="34" t="n">
        <v>51</v>
      </c>
      <c r="B8" s="58" t="n">
        <v>44.51</v>
      </c>
      <c r="C8" s="58" t="n">
        <v>44.51</v>
      </c>
      <c r="D8" s="58" t="n">
        <v>32.83</v>
      </c>
      <c r="E8" s="58" t="n">
        <v>32.83</v>
      </c>
    </row>
    <row r="9">
      <c r="A9" s="34" t="n">
        <v>52</v>
      </c>
      <c r="B9" s="58" t="n">
        <v>46.65</v>
      </c>
      <c r="C9" s="58" t="n">
        <v>46.65</v>
      </c>
      <c r="D9" s="58" t="n">
        <v>33.96</v>
      </c>
      <c r="E9" s="58" t="n">
        <v>33.96</v>
      </c>
    </row>
    <row r="10">
      <c r="A10" s="34" t="n">
        <v>53</v>
      </c>
      <c r="B10" s="58" t="n">
        <v>48.78</v>
      </c>
      <c r="C10" s="58" t="n">
        <v>48.78</v>
      </c>
      <c r="D10" s="58" t="n">
        <v>35.53</v>
      </c>
      <c r="E10" s="58" t="n">
        <v>35.53</v>
      </c>
    </row>
    <row r="11">
      <c r="A11" s="34" t="n">
        <v>54</v>
      </c>
      <c r="B11" s="58" t="n">
        <v>49.9</v>
      </c>
      <c r="C11" s="58" t="n">
        <v>49.9</v>
      </c>
      <c r="D11" s="58" t="n">
        <v>37.1</v>
      </c>
      <c r="E11" s="58" t="n">
        <v>37.1</v>
      </c>
    </row>
    <row r="12">
      <c r="A12" s="34" t="n">
        <v>55</v>
      </c>
      <c r="B12" s="58" t="n">
        <v>51.48</v>
      </c>
      <c r="C12" s="58" t="n">
        <v>51.48</v>
      </c>
      <c r="D12" s="58" t="n">
        <v>39.23</v>
      </c>
      <c r="E12" s="58" t="n">
        <v>39.23</v>
      </c>
    </row>
    <row r="13">
      <c r="A13" s="34" t="n">
        <v>56</v>
      </c>
      <c r="B13" s="58" t="n">
        <v>51.93</v>
      </c>
      <c r="C13" s="58" t="n">
        <v>51.93</v>
      </c>
      <c r="D13" s="58" t="n">
        <v>40.81</v>
      </c>
      <c r="E13" s="58" t="n">
        <v>40.81</v>
      </c>
    </row>
    <row r="14">
      <c r="A14" s="34" t="n">
        <v>57</v>
      </c>
      <c r="B14" s="58" t="n">
        <v>54.06</v>
      </c>
      <c r="C14" s="58" t="n">
        <v>54.06</v>
      </c>
      <c r="D14" s="58" t="n">
        <v>42.94</v>
      </c>
      <c r="E14" s="58" t="n">
        <v>42.94</v>
      </c>
    </row>
    <row r="15">
      <c r="A15" s="34" t="n">
        <v>58</v>
      </c>
      <c r="B15" s="58" t="n">
        <v>55.18</v>
      </c>
      <c r="C15" s="58" t="n">
        <v>55.18</v>
      </c>
      <c r="D15" s="58" t="n">
        <v>45.07</v>
      </c>
      <c r="E15" s="58" t="n">
        <v>45.07</v>
      </c>
    </row>
    <row r="16">
      <c r="A16" s="34" t="n">
        <v>59</v>
      </c>
      <c r="B16" s="58" t="n">
        <v>57.32</v>
      </c>
      <c r="C16" s="58" t="n">
        <v>57.32</v>
      </c>
      <c r="D16" s="58" t="n">
        <v>46.65</v>
      </c>
      <c r="E16" s="58" t="n">
        <v>46.65</v>
      </c>
    </row>
    <row r="17">
      <c r="A17" s="34" t="n">
        <v>60</v>
      </c>
      <c r="B17" s="58" t="n">
        <v>59.45</v>
      </c>
      <c r="C17" s="58" t="n">
        <v>59.45</v>
      </c>
      <c r="D17" s="58" t="n">
        <v>48.78</v>
      </c>
      <c r="E17" s="58" t="n">
        <v>48.78</v>
      </c>
    </row>
    <row r="18">
      <c r="A18" s="34" t="n">
        <v>61</v>
      </c>
      <c r="B18" s="58" t="n">
        <v>62.6</v>
      </c>
      <c r="C18" s="58" t="n">
        <v>62.6</v>
      </c>
      <c r="D18" s="58" t="n">
        <v>50.35</v>
      </c>
      <c r="E18" s="58" t="n">
        <v>50.35</v>
      </c>
    </row>
    <row r="19">
      <c r="A19" s="34" t="n">
        <v>62</v>
      </c>
      <c r="B19" s="58" t="n">
        <v>64.73</v>
      </c>
      <c r="C19" s="58" t="n">
        <v>64.73</v>
      </c>
      <c r="D19" s="58" t="n">
        <v>53.05</v>
      </c>
      <c r="E19" s="58" t="n">
        <v>53.05</v>
      </c>
    </row>
    <row r="20">
      <c r="A20" s="34" t="n">
        <v>63</v>
      </c>
      <c r="B20" s="58" t="n">
        <v>66.86</v>
      </c>
      <c r="C20" s="58" t="n">
        <v>66.86</v>
      </c>
      <c r="D20" s="58" t="n">
        <v>54.62</v>
      </c>
      <c r="E20" s="58" t="n">
        <v>54.62</v>
      </c>
    </row>
    <row r="21" ht="15.75" customHeight="1">
      <c r="A21" s="34" t="n">
        <v>64</v>
      </c>
      <c r="B21" s="58" t="n">
        <v>69</v>
      </c>
      <c r="C21" s="58" t="n">
        <v>69</v>
      </c>
      <c r="D21" s="58" t="n">
        <v>56.19</v>
      </c>
      <c r="E21" s="58" t="n">
        <v>56.19</v>
      </c>
    </row>
    <row r="22" ht="15.75" customHeight="1">
      <c r="A22" s="34" t="n">
        <v>65</v>
      </c>
      <c r="B22" s="58" t="n">
        <v>71.58</v>
      </c>
      <c r="C22" s="58" t="n">
        <v>71.58</v>
      </c>
      <c r="D22" s="58" t="n">
        <v>57.77</v>
      </c>
      <c r="E22" s="58" t="n">
        <v>57.77</v>
      </c>
    </row>
    <row r="23" ht="15.75" customHeight="1">
      <c r="A23" s="34" t="n">
        <v>66</v>
      </c>
      <c r="B23" s="58" t="n">
        <v>75.29000000000001</v>
      </c>
      <c r="C23" s="58" t="n">
        <v>75.29000000000001</v>
      </c>
      <c r="D23" s="58" t="n">
        <v>60.46</v>
      </c>
      <c r="E23" s="58" t="n">
        <v>60.46</v>
      </c>
    </row>
    <row r="24" ht="15.75" customHeight="1">
      <c r="A24" s="34" t="n">
        <v>67</v>
      </c>
      <c r="B24" s="58" t="n">
        <v>80.68000000000001</v>
      </c>
      <c r="C24" s="58" t="n">
        <v>80.68000000000001</v>
      </c>
      <c r="D24" s="58" t="n">
        <v>63.16</v>
      </c>
      <c r="E24" s="58" t="n">
        <v>63.16</v>
      </c>
    </row>
    <row r="25" ht="15.75" customHeight="1">
      <c r="A25" s="34" t="n">
        <v>68</v>
      </c>
      <c r="B25" s="58" t="n">
        <v>85.95999999999999</v>
      </c>
      <c r="C25" s="58" t="n">
        <v>85.95999999999999</v>
      </c>
      <c r="D25" s="58" t="n">
        <v>67.87</v>
      </c>
      <c r="E25" s="58" t="n">
        <v>67.87</v>
      </c>
    </row>
    <row r="26" ht="15.75" customHeight="1">
      <c r="A26" s="34" t="n">
        <v>69</v>
      </c>
      <c r="B26" s="58" t="n">
        <v>89.55</v>
      </c>
      <c r="C26" s="58" t="n">
        <v>89.55</v>
      </c>
      <c r="D26" s="58" t="n">
        <v>71.58</v>
      </c>
      <c r="E26" s="58" t="n">
        <v>71.58</v>
      </c>
    </row>
    <row r="27" ht="15.75" customHeight="1">
      <c r="A27" s="34" t="n">
        <v>70</v>
      </c>
      <c r="B27" s="58" t="n">
        <v>93.03</v>
      </c>
      <c r="C27" s="58" t="n">
        <v>93.03</v>
      </c>
      <c r="D27" s="58" t="n">
        <v>75.29000000000001</v>
      </c>
      <c r="E27" s="58" t="n">
        <v>75.29000000000001</v>
      </c>
    </row>
    <row r="28" ht="15.75" customHeight="1">
      <c r="A28" s="34" t="n">
        <v>71</v>
      </c>
      <c r="B28" s="58" t="n">
        <v>96.95999999999999</v>
      </c>
      <c r="C28" s="58" t="n">
        <v>96.95999999999999</v>
      </c>
      <c r="D28" s="58" t="n">
        <v>81.13</v>
      </c>
      <c r="E28" s="58" t="n">
        <v>81.13</v>
      </c>
    </row>
    <row r="29" ht="15.75" customHeight="1">
      <c r="A29" s="34" t="n">
        <v>72</v>
      </c>
      <c r="B29" s="58" t="n">
        <v>101.23</v>
      </c>
      <c r="C29" s="58" t="n">
        <v>101.23</v>
      </c>
      <c r="D29" s="58" t="n">
        <v>87.53</v>
      </c>
      <c r="E29" s="58" t="n">
        <v>87.53</v>
      </c>
    </row>
    <row r="30" ht="15.75" customHeight="1">
      <c r="A30" s="34" t="n">
        <v>73</v>
      </c>
      <c r="B30" s="58" t="n">
        <v>105.72</v>
      </c>
      <c r="C30" s="58" t="n">
        <v>105.72</v>
      </c>
      <c r="D30" s="58" t="n">
        <v>93.37</v>
      </c>
      <c r="E30" s="58" t="n">
        <v>93.37</v>
      </c>
    </row>
    <row r="31" ht="15.75" customHeight="1">
      <c r="A31" s="34" t="n">
        <v>74</v>
      </c>
      <c r="B31" s="58" t="n">
        <v>113.47</v>
      </c>
      <c r="C31" s="58" t="n">
        <v>113.47</v>
      </c>
      <c r="D31" s="58" t="n">
        <v>97.64</v>
      </c>
      <c r="E31" s="58" t="n">
        <v>97.64</v>
      </c>
    </row>
    <row r="32" ht="15.75" customHeight="1">
      <c r="A32" s="34" t="n">
        <v>75</v>
      </c>
      <c r="B32" s="58" t="n">
        <v>121.11</v>
      </c>
      <c r="C32" s="58" t="n">
        <v>121.11</v>
      </c>
      <c r="D32" s="58" t="n">
        <v>104.6</v>
      </c>
      <c r="E32" s="58" t="n">
        <v>104.6</v>
      </c>
    </row>
    <row r="33" ht="15.75" customHeight="1">
      <c r="A33" s="34" t="n">
        <v>76</v>
      </c>
      <c r="B33" s="58" t="n">
        <v>128.75</v>
      </c>
      <c r="C33" s="58" t="n">
        <v>128.75</v>
      </c>
      <c r="D33" s="58" t="n">
        <v>111.68</v>
      </c>
      <c r="E33" s="58" t="n">
        <v>111.68</v>
      </c>
    </row>
    <row r="34" ht="15.75" customHeight="1">
      <c r="A34" s="34" t="n">
        <v>77</v>
      </c>
      <c r="B34" s="58" t="n">
        <v>136.5</v>
      </c>
      <c r="C34" s="58" t="n">
        <v>136.5</v>
      </c>
      <c r="D34" s="58" t="n">
        <v>118.64</v>
      </c>
      <c r="E34" s="58" t="n">
        <v>118.64</v>
      </c>
    </row>
    <row r="35" ht="15.75" customHeight="1">
      <c r="A35" s="34" t="n">
        <v>78</v>
      </c>
      <c r="B35" s="58" t="n">
        <v>144.14</v>
      </c>
      <c r="C35" s="58" t="n">
        <v>144.14</v>
      </c>
      <c r="D35" s="58" t="n">
        <v>123.25</v>
      </c>
      <c r="E35" s="58" t="n">
        <v>123.25</v>
      </c>
    </row>
    <row r="36" ht="15.75" customHeight="1">
      <c r="A36" s="34" t="n">
        <v>79</v>
      </c>
      <c r="B36" s="58" t="n">
        <v>151.77</v>
      </c>
      <c r="C36" s="58" t="n">
        <v>151.77</v>
      </c>
      <c r="D36" s="58" t="n">
        <v>127.74</v>
      </c>
      <c r="E36" s="58" t="n">
        <v>127.74</v>
      </c>
    </row>
    <row r="37" ht="15.75" customHeight="1">
      <c r="A37" s="34" t="n">
        <v>80</v>
      </c>
      <c r="B37" s="58" t="n">
        <v>159.52</v>
      </c>
      <c r="C37" s="58" t="n">
        <v>159.52</v>
      </c>
      <c r="D37" s="58" t="n">
        <v>132.23</v>
      </c>
      <c r="E37" s="58" t="n">
        <v>132.23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2026-06-24T17:18:57Z</dcterms:created>
  <dcterms:modified xmlns:dcterms="http://purl.org/dc/terms/" xmlns:xsi="http://www.w3.org/2001/XMLSchema-instance" xsi:type="dcterms:W3CDTF">2026-06-24T19:25:29Z</dcterms:modified>
</cp:coreProperties>
</file>